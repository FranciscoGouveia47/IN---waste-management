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uv\PycharmProjects\IN+\Files\"/>
    </mc:Choice>
  </mc:AlternateContent>
  <xr:revisionPtr revIDLastSave="0" documentId="13_ncr:1_{139EF863-63E3-4F63-991E-D9E04E96F00C}" xr6:coauthVersionLast="47" xr6:coauthVersionMax="47" xr10:uidLastSave="{00000000-0000-0000-0000-000000000000}"/>
  <bookViews>
    <workbookView xWindow="-120" yWindow="-120" windowWidth="20730" windowHeight="11160" xr2:uid="{92E2ADF7-73FA-428E-B24A-CF1333C5A8E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E67" i="1"/>
  <c r="F67" i="1"/>
  <c r="G67" i="1"/>
  <c r="E68" i="1"/>
  <c r="F68" i="1"/>
  <c r="G68" i="1"/>
  <c r="E69" i="1"/>
  <c r="F69" i="1"/>
  <c r="G69" i="1"/>
  <c r="E70" i="1"/>
  <c r="F70" i="1"/>
  <c r="G70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D70" i="1"/>
  <c r="D69" i="1"/>
  <c r="D68" i="1"/>
  <c r="D67" i="1"/>
  <c r="H57" i="1"/>
  <c r="H58" i="1"/>
  <c r="E47" i="1"/>
  <c r="F41" i="1" s="1"/>
  <c r="H2" i="1"/>
  <c r="D66" i="1"/>
  <c r="D65" i="1"/>
  <c r="D64" i="1"/>
  <c r="D63" i="1"/>
  <c r="D62" i="1"/>
  <c r="H52" i="1"/>
  <c r="H53" i="1"/>
  <c r="H54" i="1"/>
  <c r="H55" i="1"/>
  <c r="H56" i="1"/>
  <c r="H59" i="1"/>
  <c r="H51" i="1"/>
  <c r="I15" i="1"/>
  <c r="I16" i="1"/>
  <c r="I17" i="1"/>
  <c r="I18" i="1"/>
  <c r="I19" i="1"/>
  <c r="I20" i="1"/>
  <c r="I21" i="1"/>
  <c r="I22" i="1"/>
  <c r="I14" i="1"/>
  <c r="H68" i="1" l="1"/>
  <c r="H69" i="1"/>
  <c r="H70" i="1"/>
  <c r="H67" i="1"/>
  <c r="F44" i="1"/>
  <c r="F46" i="1"/>
  <c r="F45" i="1"/>
  <c r="F43" i="1"/>
  <c r="F39" i="1"/>
  <c r="H66" i="1"/>
  <c r="F40" i="1"/>
  <c r="H64" i="1"/>
  <c r="F42" i="1"/>
  <c r="F38" i="1"/>
  <c r="H63" i="1"/>
  <c r="H65" i="1"/>
  <c r="H62" i="1"/>
  <c r="H8" i="1"/>
  <c r="H9" i="1"/>
  <c r="H10" i="1"/>
  <c r="E11" i="1"/>
  <c r="F8" i="1"/>
  <c r="F9" i="1"/>
  <c r="F10" i="1"/>
  <c r="H7" i="1"/>
  <c r="F7" i="1"/>
  <c r="H6" i="1"/>
  <c r="F6" i="1"/>
  <c r="H5" i="1"/>
  <c r="F5" i="1"/>
  <c r="H4" i="1"/>
  <c r="F4" i="1"/>
  <c r="H3" i="1"/>
  <c r="F3" i="1"/>
  <c r="F2" i="1"/>
  <c r="F47" i="1" l="1"/>
  <c r="E27" i="1"/>
  <c r="F27" i="1"/>
  <c r="H27" i="1"/>
  <c r="G27" i="1"/>
  <c r="D27" i="1"/>
  <c r="E29" i="1"/>
  <c r="D29" i="1"/>
  <c r="F29" i="1"/>
  <c r="G29" i="1"/>
  <c r="H29" i="1"/>
  <c r="H33" i="1"/>
  <c r="E33" i="1"/>
  <c r="D33" i="1"/>
  <c r="F33" i="1"/>
  <c r="G33" i="1"/>
  <c r="E32" i="1"/>
  <c r="F32" i="1"/>
  <c r="D32" i="1"/>
  <c r="G32" i="1"/>
  <c r="H32" i="1"/>
  <c r="H25" i="1"/>
  <c r="E25" i="1"/>
  <c r="F25" i="1"/>
  <c r="D25" i="1"/>
  <c r="G25" i="1"/>
  <c r="E26" i="1"/>
  <c r="F26" i="1"/>
  <c r="D26" i="1"/>
  <c r="G26" i="1"/>
  <c r="H26" i="1"/>
  <c r="H28" i="1"/>
  <c r="E28" i="1"/>
  <c r="F28" i="1"/>
  <c r="D28" i="1"/>
  <c r="G28" i="1"/>
  <c r="D30" i="1"/>
  <c r="E30" i="1"/>
  <c r="F30" i="1"/>
  <c r="H30" i="1"/>
  <c r="G30" i="1"/>
  <c r="E31" i="1"/>
  <c r="F31" i="1"/>
  <c r="H31" i="1"/>
  <c r="G31" i="1"/>
  <c r="D31" i="1"/>
  <c r="F11" i="1"/>
  <c r="H11" i="1"/>
  <c r="I26" i="1" l="1"/>
  <c r="I25" i="1"/>
  <c r="I31" i="1"/>
  <c r="I29" i="1"/>
  <c r="I30" i="1"/>
  <c r="I28" i="1"/>
  <c r="I32" i="1"/>
  <c r="I33" i="1"/>
  <c r="I27" i="1"/>
  <c r="I34" i="1" l="1"/>
</calcChain>
</file>

<file path=xl/sharedStrings.xml><?xml version="1.0" encoding="utf-8"?>
<sst xmlns="http://schemas.openxmlformats.org/spreadsheetml/2006/main" count="119" uniqueCount="69">
  <si>
    <t>Mixed Waste total mass (t)</t>
  </si>
  <si>
    <t>Code</t>
  </si>
  <si>
    <t>Category</t>
  </si>
  <si>
    <t>Mass %</t>
  </si>
  <si>
    <t>Mass (t)</t>
  </si>
  <si>
    <t>Energy(MJ/Kg)</t>
  </si>
  <si>
    <t>Total energy contribuition (MJ/Kg)</t>
  </si>
  <si>
    <t>NEEDS TO BE FILLED</t>
  </si>
  <si>
    <t>Plastics</t>
  </si>
  <si>
    <t>Wood</t>
  </si>
  <si>
    <t>Glass</t>
  </si>
  <si>
    <t>Paper/Cardboard</t>
  </si>
  <si>
    <t>Textiles</t>
  </si>
  <si>
    <t>Food waste</t>
  </si>
  <si>
    <t>Garden and Park waste</t>
  </si>
  <si>
    <t>Rubber and Leather</t>
  </si>
  <si>
    <t>Metal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</si>
  <si>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</si>
  <si>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</si>
  <si>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</si>
  <si>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</si>
  <si>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</si>
  <si>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</si>
  <si>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</si>
  <si>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</si>
  <si>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</si>
  <si>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AT1</t>
  </si>
  <si>
    <t>Total</t>
  </si>
  <si>
    <t>Mixed waste to MBT, composting %</t>
  </si>
  <si>
    <t>Mixed waste to MBT, Anaerobic digestion %</t>
  </si>
  <si>
    <t>Mixed waste to Gasification %</t>
  </si>
  <si>
    <t>Total %</t>
  </si>
  <si>
    <t xml:space="preserve">Mixed waste to Incineration % </t>
  </si>
  <si>
    <t>Mixed waste to Landfill %</t>
  </si>
  <si>
    <t>Mixed waste to MBT, composting (t)</t>
  </si>
  <si>
    <t>Mixed waste to MBT, Anaerobic digestion (t)</t>
  </si>
  <si>
    <t>Mixed waste to Gasification (t)</t>
  </si>
  <si>
    <t>Total (t)</t>
  </si>
  <si>
    <t>Mixed waste to Incineration (t)</t>
  </si>
  <si>
    <t>Mixed waste to Landfill (t)</t>
  </si>
  <si>
    <t>PET</t>
  </si>
  <si>
    <t>HDPE</t>
  </si>
  <si>
    <t>Sep. Collected Waste total mass (t)</t>
  </si>
  <si>
    <t>Ferrous metal</t>
  </si>
  <si>
    <t>Non-ferrous metal</t>
  </si>
  <si>
    <t>S.C. = Separately Collected</t>
  </si>
  <si>
    <t>S.C. waste to MBT, composting %</t>
  </si>
  <si>
    <t>S.C. waste to MBT, Anaerobic digestion %</t>
  </si>
  <si>
    <t>S.C. waste to MBT, Recycling %</t>
  </si>
  <si>
    <t>S.C. waste to MBT, composting (t)</t>
  </si>
  <si>
    <t>S.C. waste to MBT, Anaerobic digestion (t)</t>
  </si>
  <si>
    <t>S.C. waste to MBT, Recycling (t)</t>
  </si>
  <si>
    <t>S.C. waste to MBT, Gasification %</t>
  </si>
  <si>
    <t>S.C. waste to MBT, Gasification (t)</t>
  </si>
  <si>
    <t>B1</t>
  </si>
  <si>
    <t>B2</t>
  </si>
  <si>
    <t>B3</t>
  </si>
  <si>
    <t>B4</t>
  </si>
  <si>
    <t>B5</t>
  </si>
  <si>
    <t>B6</t>
  </si>
  <si>
    <t>B7</t>
  </si>
  <si>
    <t>BT1</t>
  </si>
  <si>
    <t>Biowaste (Food Waste)</t>
  </si>
  <si>
    <t>Biowaste (Wood)</t>
  </si>
  <si>
    <t>Biowaste (Garden and Park waste)</t>
  </si>
  <si>
    <t>B8</t>
  </si>
  <si>
    <t>B9</t>
  </si>
  <si>
    <t>Mixed Waste</t>
  </si>
  <si>
    <t>Separately Collected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</si>
</sst>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1" fillId="4" borderId="0" xfId="0" applyFont="1" applyFill="1"/>
    <xf numFmtId="0" fontId="0" fillId="4" borderId="5" xfId="0" applyFill="1" applyBorder="1"/>
    <xf numFmtId="164" fontId="0" fillId="4" borderId="0" xfId="0" applyNumberFormat="1" applyFill="1"/>
    <xf numFmtId="0" fontId="0" fillId="4" borderId="0" xfId="0" applyFill="1"/>
    <xf numFmtId="0" fontId="1" fillId="3" borderId="0" xfId="0" applyFont="1" applyFill="1"/>
    <xf numFmtId="0" fontId="0" fillId="3" borderId="5" xfId="0" applyFill="1" applyBorder="1"/>
    <xf numFmtId="164" fontId="0" fillId="3" borderId="0" xfId="0" applyNumberFormat="1" applyFill="1"/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0" fillId="4" borderId="1" xfId="0" applyFill="1" applyBorder="1"/>
    <xf numFmtId="0" fontId="0" fillId="4" borderId="4" xfId="0" applyFill="1" applyBorder="1"/>
    <xf numFmtId="0" fontId="1" fillId="0" borderId="2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4" borderId="7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2" fillId="2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6" borderId="0" xfId="0" applyFont="1" applyFill="1"/>
    <xf numFmtId="0" fontId="0" fillId="6" borderId="0" xfId="0" applyFill="1"/>
    <xf numFmtId="2" fontId="0" fillId="6" borderId="0" xfId="0" applyNumberFormat="1" applyFill="1"/>
    <xf numFmtId="2" fontId="0" fillId="3" borderId="0" xfId="0" applyNumberFormat="1" applyFill="1"/>
    <xf numFmtId="0" fontId="2" fillId="5" borderId="6" xfId="0" applyFont="1" applyFill="1" applyBorder="1" applyAlignment="1">
      <alignment wrapText="1"/>
    </xf>
    <xf numFmtId="2" fontId="0" fillId="0" borderId="0" xfId="0" applyNumberFormat="1"/>
    <xf numFmtId="0" fontId="0" fillId="6" borderId="16" xfId="0" applyFill="1" applyBorder="1"/>
    <xf numFmtId="0" fontId="1" fillId="5" borderId="3" xfId="0" applyFont="1" applyFill="1" applyBorder="1" applyAlignment="1">
      <alignment vertical="center"/>
    </xf>
    <xf numFmtId="0" fontId="0" fillId="6" borderId="5" xfId="0" applyFill="1" applyBorder="1"/>
    <xf numFmtId="0" fontId="0" fillId="3" borderId="4" xfId="0" applyFill="1" applyBorder="1"/>
    <xf numFmtId="0" fontId="1" fillId="6" borderId="0" xfId="0" applyFont="1" applyFill="1" applyAlignment="1">
      <alignment horizontal="left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2" fontId="0" fillId="4" borderId="19" xfId="0" applyNumberFormat="1" applyFill="1" applyBorder="1"/>
    <xf numFmtId="2" fontId="0" fillId="4" borderId="0" xfId="0" applyNumberFormat="1" applyFill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5" xfId="0" applyNumberFormat="1" applyFill="1" applyBorder="1"/>
    <xf numFmtId="2" fontId="0" fillId="4" borderId="22" xfId="0" applyNumberFormat="1" applyFill="1" applyBorder="1"/>
    <xf numFmtId="0" fontId="0" fillId="6" borderId="7" xfId="0" applyFill="1" applyBorder="1"/>
    <xf numFmtId="0" fontId="0" fillId="6" borderId="11" xfId="0" applyFill="1" applyBorder="1"/>
    <xf numFmtId="0" fontId="0" fillId="3" borderId="7" xfId="0" applyFill="1" applyBorder="1"/>
    <xf numFmtId="0" fontId="0" fillId="3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9" xfId="0" applyFill="1" applyBorder="1"/>
    <xf numFmtId="0" fontId="0" fillId="6" borderId="20" xfId="0" applyFill="1" applyBorder="1"/>
    <xf numFmtId="0" fontId="0" fillId="3" borderId="19" xfId="0" applyFill="1" applyBorder="1"/>
    <xf numFmtId="0" fontId="0" fillId="3" borderId="20" xfId="0" applyFill="1" applyBorder="1"/>
    <xf numFmtId="0" fontId="0" fillId="6" borderId="21" xfId="0" applyFill="1" applyBorder="1"/>
    <xf numFmtId="0" fontId="0" fillId="6" borderId="15" xfId="0" applyFill="1" applyBorder="1"/>
    <xf numFmtId="0" fontId="0" fillId="6" borderId="22" xfId="0" applyFill="1" applyBorder="1"/>
    <xf numFmtId="2" fontId="0" fillId="0" borderId="0" xfId="0" applyNumberFormat="1" applyAlignment="1">
      <alignment horizontal="right" vertical="center"/>
    </xf>
    <xf numFmtId="0" fontId="1" fillId="3" borderId="17" xfId="0" applyFont="1" applyFill="1" applyBorder="1" applyAlignment="1">
      <alignment vertical="center"/>
    </xf>
    <xf numFmtId="0" fontId="0" fillId="4" borderId="19" xfId="0" applyFill="1" applyBorder="1"/>
    <xf numFmtId="0" fontId="1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0" fillId="6" borderId="5" xfId="0" applyFill="1" applyBorder="1" applyAlignment="1">
      <alignment vertical="center"/>
    </xf>
    <xf numFmtId="2" fontId="0" fillId="6" borderId="0" xfId="0" applyNumberFormat="1" applyFill="1" applyAlignment="1">
      <alignment vertical="center"/>
    </xf>
    <xf numFmtId="0" fontId="0" fillId="6" borderId="23" xfId="0" applyFill="1" applyBorder="1"/>
    <xf numFmtId="0" fontId="0" fillId="6" borderId="24" xfId="0" applyFill="1" applyBorder="1"/>
    <xf numFmtId="0" fontId="0" fillId="8" borderId="0" xfId="0" applyFill="1"/>
    <xf numFmtId="1" fontId="0" fillId="3" borderId="0" xfId="0" applyNumberFormat="1" applyFill="1"/>
    <xf numFmtId="164" fontId="0" fillId="3" borderId="6" xfId="0" applyNumberFormat="1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0" fontId="4" fillId="5" borderId="2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2" fillId="3" borderId="25" xfId="0" applyFont="1" applyFill="1" applyBorder="1" applyAlignment="1">
      <alignment horizontal="center"/>
    </xf>
    <xf numFmtId="0" fontId="7" fillId="7" borderId="25" xfId="0" applyFont="1" applyFill="1" applyBorder="1" applyAlignment="1">
      <alignment horizontal="center" vertical="center" textRotation="90"/>
    </xf>
    <xf numFmtId="0" fontId="7" fillId="4" borderId="2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5DE7-3C02-44B7-92D3-18AE381DDFC3}">
  <dimension ref="A1:M77"/>
  <sheetViews>
    <sheetView tabSelected="1" topLeftCell="A28" zoomScale="89" zoomScaleNormal="89" workbookViewId="0">
      <selection activeCell="B8" sqref="B8"/>
    </sheetView>
  </sheetViews>
  <sheetFormatPr defaultRowHeight="15" x14ac:dyDescent="0.25"/>
  <cols>
    <col min="1" max="1" width="27.85546875" customWidth="1"/>
    <col min="4" max="4" width="21.5703125" customWidth="1"/>
    <col min="5" max="5" width="21" customWidth="1"/>
    <col min="6" max="6" width="20" customWidth="1"/>
    <col min="7" max="7" width="19.7109375" customWidth="1"/>
    <col min="8" max="8" width="21" customWidth="1"/>
    <col min="11" max="11" width="43.5703125" customWidth="1"/>
    <col min="15" max="15" width="12" bestFit="1" customWidth="1"/>
  </cols>
  <sheetData>
    <row r="1" spans="1:11" ht="33.75" customHeight="1" thickBot="1" x14ac:dyDescent="0.3">
      <c r="A1" s="1" t="s">
        <v>0</v>
      </c>
      <c r="B1" s="60"/>
      <c r="C1" s="2" t="s">
        <v>1</v>
      </c>
      <c r="D1" s="2" t="s">
        <v>2</v>
      </c>
      <c r="E1" s="13" t="s">
        <v>3</v>
      </c>
      <c r="F1" s="2" t="s">
        <v>4</v>
      </c>
      <c r="G1" s="65" t="s">
        <v>5</v>
      </c>
      <c r="H1" s="3" t="s">
        <v>6</v>
      </c>
      <c r="I1" s="12"/>
      <c r="J1" s="12"/>
      <c r="K1" s="74"/>
    </row>
    <row r="2" spans="1:11" ht="16.5" thickBot="1" x14ac:dyDescent="0.3">
      <c r="A2" s="4">
        <v>151515</v>
      </c>
      <c r="B2" s="60"/>
      <c r="C2" s="5" t="s">
        <v>17</v>
      </c>
      <c r="D2" s="5" t="s">
        <v>11</v>
      </c>
      <c r="E2" s="14">
        <v>25</v>
      </c>
      <c r="F2" s="7">
        <f>E2*$A$2/100</f>
        <v>37878.75</v>
      </c>
      <c r="G2" s="66">
        <v>16.510000000000002</v>
      </c>
      <c r="H2" s="7">
        <f>G2*E2/100</f>
        <v>4.1275000000000004</v>
      </c>
      <c r="I2" s="12"/>
      <c r="J2" s="12"/>
      <c r="K2" s="74"/>
    </row>
    <row r="3" spans="1:11" x14ac:dyDescent="0.25">
      <c r="A3" s="12"/>
      <c r="B3" s="60"/>
      <c r="C3" s="9" t="s">
        <v>18</v>
      </c>
      <c r="D3" s="9" t="s">
        <v>12</v>
      </c>
      <c r="E3" s="10">
        <v>10</v>
      </c>
      <c r="F3" s="11">
        <f t="shared" ref="F3:F6" si="0">E3*$A$2/100</f>
        <v>15151.5</v>
      </c>
      <c r="G3" s="59">
        <v>17.445</v>
      </c>
      <c r="H3" s="11">
        <f t="shared" ref="H3:H6" si="1">G3*E3/100</f>
        <v>1.7444999999999999</v>
      </c>
      <c r="I3" s="12"/>
      <c r="J3" s="12"/>
      <c r="K3" s="74"/>
    </row>
    <row r="4" spans="1:11" ht="15.75" thickBot="1" x14ac:dyDescent="0.3">
      <c r="A4" s="12"/>
      <c r="B4" s="60"/>
      <c r="C4" s="5" t="s">
        <v>19</v>
      </c>
      <c r="D4" s="5" t="s">
        <v>13</v>
      </c>
      <c r="E4" s="6">
        <v>12</v>
      </c>
      <c r="F4" s="7">
        <f t="shared" si="0"/>
        <v>18181.8</v>
      </c>
      <c r="G4" s="66">
        <v>4.6520000000000001</v>
      </c>
      <c r="H4" s="7">
        <f t="shared" si="1"/>
        <v>0.55823999999999996</v>
      </c>
      <c r="I4" s="12"/>
      <c r="J4" s="12"/>
      <c r="K4" s="74"/>
    </row>
    <row r="5" spans="1:11" ht="15.75" customHeight="1" thickBot="1" x14ac:dyDescent="0.3">
      <c r="A5" s="26" t="s">
        <v>7</v>
      </c>
      <c r="B5" s="60"/>
      <c r="C5" s="9" t="s">
        <v>20</v>
      </c>
      <c r="D5" s="9" t="s">
        <v>9</v>
      </c>
      <c r="E5" s="10">
        <v>3</v>
      </c>
      <c r="F5" s="11">
        <f t="shared" si="0"/>
        <v>4545.45</v>
      </c>
      <c r="G5" s="59">
        <v>18.608000000000001</v>
      </c>
      <c r="H5" s="11">
        <f t="shared" si="1"/>
        <v>0.55823999999999996</v>
      </c>
      <c r="I5" s="12"/>
      <c r="J5" s="12"/>
      <c r="K5" s="74"/>
    </row>
    <row r="6" spans="1:11" x14ac:dyDescent="0.25">
      <c r="A6" s="12"/>
      <c r="B6" s="60"/>
      <c r="C6" s="5" t="s">
        <v>21</v>
      </c>
      <c r="D6" s="5" t="s">
        <v>14</v>
      </c>
      <c r="E6" s="6">
        <v>15</v>
      </c>
      <c r="F6" s="7">
        <f t="shared" si="0"/>
        <v>22727.25</v>
      </c>
      <c r="G6" s="66">
        <v>6.5127999999999995</v>
      </c>
      <c r="H6" s="7">
        <f t="shared" si="1"/>
        <v>0.9769199999999999</v>
      </c>
      <c r="I6" s="12"/>
      <c r="J6" s="12"/>
      <c r="K6" s="74"/>
    </row>
    <row r="7" spans="1:11" x14ac:dyDescent="0.25">
      <c r="A7" s="12"/>
      <c r="B7" s="60"/>
      <c r="C7" s="9" t="s">
        <v>22</v>
      </c>
      <c r="D7" s="9" t="s">
        <v>15</v>
      </c>
      <c r="E7" s="10">
        <v>4</v>
      </c>
      <c r="F7" s="11">
        <f>E7*$A$2/100</f>
        <v>6060.6</v>
      </c>
      <c r="G7" s="59">
        <v>20.352499999999999</v>
      </c>
      <c r="H7" s="11">
        <f>G7*E7/100</f>
        <v>0.81409999999999993</v>
      </c>
      <c r="I7" s="12"/>
      <c r="J7" s="12"/>
      <c r="K7" s="74"/>
    </row>
    <row r="8" spans="1:11" x14ac:dyDescent="0.25">
      <c r="A8" s="12"/>
      <c r="B8" s="60"/>
      <c r="C8" s="5" t="s">
        <v>23</v>
      </c>
      <c r="D8" s="5" t="s">
        <v>8</v>
      </c>
      <c r="E8" s="6">
        <v>20</v>
      </c>
      <c r="F8" s="7">
        <f t="shared" ref="F8:F10" si="2">E8*$A$2/100</f>
        <v>30303</v>
      </c>
      <c r="G8" s="66">
        <v>32.564</v>
      </c>
      <c r="H8" s="7">
        <f t="shared" ref="H8:H10" si="3">G8*E8/100</f>
        <v>6.5127999999999995</v>
      </c>
      <c r="I8" s="12"/>
      <c r="J8" s="12"/>
      <c r="K8" s="74"/>
    </row>
    <row r="9" spans="1:11" x14ac:dyDescent="0.25">
      <c r="A9" s="86" t="s">
        <v>67</v>
      </c>
      <c r="B9" s="60"/>
      <c r="C9" s="9" t="s">
        <v>24</v>
      </c>
      <c r="D9" s="9" t="s">
        <v>16</v>
      </c>
      <c r="E9" s="10">
        <v>1</v>
      </c>
      <c r="F9" s="11">
        <f t="shared" si="2"/>
        <v>1515.15</v>
      </c>
      <c r="G9" s="59">
        <v>0.34890000000000004</v>
      </c>
      <c r="H9" s="11">
        <f t="shared" si="3"/>
        <v>3.4890000000000003E-3</v>
      </c>
      <c r="I9" s="12"/>
      <c r="J9" s="12"/>
      <c r="K9" s="74"/>
    </row>
    <row r="10" spans="1:11" ht="15.75" thickBot="1" x14ac:dyDescent="0.3">
      <c r="A10" s="86"/>
      <c r="B10" s="60"/>
      <c r="C10" s="5" t="s">
        <v>25</v>
      </c>
      <c r="D10" s="5" t="s">
        <v>10</v>
      </c>
      <c r="E10" s="15">
        <v>10</v>
      </c>
      <c r="F10" s="7">
        <f t="shared" si="2"/>
        <v>15151.5</v>
      </c>
      <c r="G10" s="66">
        <v>0.13955999999999999</v>
      </c>
      <c r="H10" s="7">
        <f t="shared" si="3"/>
        <v>1.3956E-2</v>
      </c>
      <c r="I10" s="12"/>
      <c r="J10" s="12"/>
      <c r="K10" s="74"/>
    </row>
    <row r="11" spans="1:11" ht="15.75" thickBot="1" x14ac:dyDescent="0.3">
      <c r="A11" s="86"/>
      <c r="B11" s="60"/>
      <c r="C11" s="9" t="s">
        <v>26</v>
      </c>
      <c r="D11" s="9" t="s">
        <v>27</v>
      </c>
      <c r="E11" s="12">
        <f>SUM(E2:E10)</f>
        <v>100</v>
      </c>
      <c r="F11" s="60">
        <f>SUM(F2:F10)</f>
        <v>151515</v>
      </c>
      <c r="G11" s="12"/>
      <c r="H11" s="76">
        <f>SUM(H2:H10)</f>
        <v>15.309744999999998</v>
      </c>
      <c r="I11" s="12"/>
      <c r="J11" s="12"/>
      <c r="K11" s="74"/>
    </row>
    <row r="12" spans="1:11" ht="15.75" thickBot="1" x14ac:dyDescent="0.3">
      <c r="A12" s="86"/>
      <c r="B12" s="60"/>
      <c r="C12" s="9"/>
      <c r="D12" s="12"/>
      <c r="E12" s="12"/>
      <c r="F12" s="12"/>
      <c r="G12" s="12"/>
      <c r="H12" s="12"/>
      <c r="I12" s="12"/>
      <c r="J12" s="12"/>
      <c r="K12" s="74"/>
    </row>
    <row r="13" spans="1:11" ht="24.75" customHeight="1" x14ac:dyDescent="0.25">
      <c r="A13" s="86"/>
      <c r="B13" s="60"/>
      <c r="C13" s="28" t="s">
        <v>1</v>
      </c>
      <c r="D13" s="17" t="s">
        <v>28</v>
      </c>
      <c r="E13" s="18" t="s">
        <v>29</v>
      </c>
      <c r="F13" s="18" t="s">
        <v>32</v>
      </c>
      <c r="G13" s="18" t="s">
        <v>33</v>
      </c>
      <c r="H13" s="19" t="s">
        <v>30</v>
      </c>
      <c r="I13" s="20" t="s">
        <v>31</v>
      </c>
      <c r="J13" s="12"/>
      <c r="K13" s="74"/>
    </row>
    <row r="14" spans="1:11" x14ac:dyDescent="0.25">
      <c r="A14" s="86"/>
      <c r="B14" s="60"/>
      <c r="C14" s="5" t="s">
        <v>17</v>
      </c>
      <c r="D14" s="21">
        <v>20</v>
      </c>
      <c r="E14" s="8">
        <v>20</v>
      </c>
      <c r="F14" s="8">
        <v>35</v>
      </c>
      <c r="G14" s="8">
        <v>0</v>
      </c>
      <c r="H14" s="22">
        <v>25</v>
      </c>
      <c r="I14" s="8">
        <f>SUM(D14:H14)</f>
        <v>100</v>
      </c>
      <c r="J14" s="12"/>
      <c r="K14" s="74"/>
    </row>
    <row r="15" spans="1:11" x14ac:dyDescent="0.25">
      <c r="A15" s="86"/>
      <c r="B15" s="60"/>
      <c r="C15" s="9" t="s">
        <v>18</v>
      </c>
      <c r="D15" s="52">
        <v>0</v>
      </c>
      <c r="E15" s="12">
        <v>0</v>
      </c>
      <c r="F15" s="12">
        <v>10</v>
      </c>
      <c r="G15" s="12">
        <v>80</v>
      </c>
      <c r="H15" s="53">
        <v>10</v>
      </c>
      <c r="I15" s="12">
        <f t="shared" ref="I15:I22" si="4">SUM(D15:H15)</f>
        <v>100</v>
      </c>
      <c r="J15" s="12"/>
      <c r="K15" s="74"/>
    </row>
    <row r="16" spans="1:11" x14ac:dyDescent="0.25">
      <c r="A16" s="86"/>
      <c r="B16" s="60"/>
      <c r="C16" s="5" t="s">
        <v>19</v>
      </c>
      <c r="D16" s="21">
        <v>55</v>
      </c>
      <c r="E16" s="8">
        <v>30</v>
      </c>
      <c r="F16" s="8">
        <v>3</v>
      </c>
      <c r="G16" s="8">
        <v>0</v>
      </c>
      <c r="H16" s="22">
        <v>12</v>
      </c>
      <c r="I16" s="8">
        <f t="shared" si="4"/>
        <v>100</v>
      </c>
      <c r="J16" s="12"/>
      <c r="K16" s="74"/>
    </row>
    <row r="17" spans="1:13" x14ac:dyDescent="0.25">
      <c r="A17" s="86"/>
      <c r="B17" s="60"/>
      <c r="C17" s="9" t="s">
        <v>20</v>
      </c>
      <c r="D17" s="52">
        <v>20</v>
      </c>
      <c r="E17" s="12">
        <v>17</v>
      </c>
      <c r="F17" s="12">
        <v>50</v>
      </c>
      <c r="G17" s="12">
        <v>10</v>
      </c>
      <c r="H17" s="53">
        <v>3</v>
      </c>
      <c r="I17" s="12">
        <f t="shared" si="4"/>
        <v>100</v>
      </c>
      <c r="J17" s="12"/>
      <c r="K17" s="74"/>
    </row>
    <row r="18" spans="1:13" x14ac:dyDescent="0.25">
      <c r="A18" s="86"/>
      <c r="B18" s="60"/>
      <c r="C18" s="5" t="s">
        <v>21</v>
      </c>
      <c r="D18" s="21">
        <v>70</v>
      </c>
      <c r="E18" s="8">
        <v>15</v>
      </c>
      <c r="F18" s="8">
        <v>0</v>
      </c>
      <c r="G18" s="8">
        <v>0</v>
      </c>
      <c r="H18" s="22">
        <v>15</v>
      </c>
      <c r="I18" s="8">
        <f t="shared" si="4"/>
        <v>100</v>
      </c>
      <c r="J18" s="12"/>
      <c r="K18" s="74"/>
    </row>
    <row r="19" spans="1:13" x14ac:dyDescent="0.25">
      <c r="A19" s="86"/>
      <c r="B19" s="60"/>
      <c r="C19" s="9" t="s">
        <v>22</v>
      </c>
      <c r="D19" s="52">
        <v>0</v>
      </c>
      <c r="E19" s="12">
        <v>0</v>
      </c>
      <c r="F19" s="12">
        <v>70</v>
      </c>
      <c r="G19" s="12">
        <v>26</v>
      </c>
      <c r="H19" s="53">
        <v>4</v>
      </c>
      <c r="I19" s="12">
        <f t="shared" si="4"/>
        <v>100</v>
      </c>
      <c r="J19" s="12"/>
      <c r="K19" s="74"/>
    </row>
    <row r="20" spans="1:13" x14ac:dyDescent="0.25">
      <c r="A20" s="86"/>
      <c r="B20" s="60"/>
      <c r="C20" s="5" t="s">
        <v>23</v>
      </c>
      <c r="D20" s="21">
        <v>0</v>
      </c>
      <c r="E20" s="8">
        <v>0</v>
      </c>
      <c r="F20" s="8">
        <v>20</v>
      </c>
      <c r="G20" s="8">
        <v>60</v>
      </c>
      <c r="H20" s="22">
        <v>20</v>
      </c>
      <c r="I20" s="8">
        <f t="shared" si="4"/>
        <v>100</v>
      </c>
      <c r="J20" s="12"/>
      <c r="K20" s="74"/>
    </row>
    <row r="21" spans="1:13" x14ac:dyDescent="0.25">
      <c r="A21" s="86"/>
      <c r="B21" s="60"/>
      <c r="C21" s="9" t="s">
        <v>24</v>
      </c>
      <c r="D21" s="52">
        <v>0</v>
      </c>
      <c r="E21" s="12">
        <v>0</v>
      </c>
      <c r="F21" s="12">
        <v>0</v>
      </c>
      <c r="G21" s="12">
        <v>99</v>
      </c>
      <c r="H21" s="53">
        <v>1</v>
      </c>
      <c r="I21" s="12">
        <f t="shared" si="4"/>
        <v>100</v>
      </c>
      <c r="J21" s="12"/>
      <c r="K21" s="74"/>
    </row>
    <row r="22" spans="1:13" ht="15.75" thickBot="1" x14ac:dyDescent="0.3">
      <c r="A22" s="86"/>
      <c r="B22" s="60"/>
      <c r="C22" s="5" t="s">
        <v>25</v>
      </c>
      <c r="D22" s="23">
        <v>0</v>
      </c>
      <c r="E22" s="24">
        <v>0</v>
      </c>
      <c r="F22" s="24">
        <v>0</v>
      </c>
      <c r="G22" s="24">
        <v>90</v>
      </c>
      <c r="H22" s="25">
        <v>10</v>
      </c>
      <c r="I22" s="8">
        <f t="shared" si="4"/>
        <v>100</v>
      </c>
      <c r="J22" s="12"/>
      <c r="K22" s="74"/>
    </row>
    <row r="23" spans="1:13" x14ac:dyDescent="0.25">
      <c r="A23" s="86"/>
      <c r="B23" s="60"/>
      <c r="C23" s="12"/>
      <c r="D23" s="12"/>
      <c r="E23" s="9"/>
      <c r="F23" s="12"/>
      <c r="G23" s="12"/>
      <c r="H23" s="12"/>
      <c r="I23" s="12"/>
      <c r="J23" s="12"/>
      <c r="K23" s="74"/>
    </row>
    <row r="24" spans="1:13" ht="24.75" customHeight="1" x14ac:dyDescent="0.25">
      <c r="A24" s="86"/>
      <c r="B24" s="60"/>
      <c r="C24" s="28" t="s">
        <v>1</v>
      </c>
      <c r="D24" s="42" t="s">
        <v>34</v>
      </c>
      <c r="E24" s="27" t="s">
        <v>35</v>
      </c>
      <c r="F24" s="27" t="s">
        <v>38</v>
      </c>
      <c r="G24" s="27" t="s">
        <v>39</v>
      </c>
      <c r="H24" s="43" t="s">
        <v>36</v>
      </c>
      <c r="I24" s="20" t="s">
        <v>37</v>
      </c>
      <c r="J24" s="12"/>
      <c r="K24" s="74"/>
    </row>
    <row r="25" spans="1:13" x14ac:dyDescent="0.25">
      <c r="A25" s="86"/>
      <c r="B25" s="60"/>
      <c r="C25" s="5" t="s">
        <v>17</v>
      </c>
      <c r="D25" s="44">
        <f>D14/100*$F$2</f>
        <v>7575.75</v>
      </c>
      <c r="E25" s="45">
        <f t="shared" ref="E25:H25" si="5">E14/100*$F$2</f>
        <v>7575.75</v>
      </c>
      <c r="F25" s="45">
        <f t="shared" si="5"/>
        <v>13257.5625</v>
      </c>
      <c r="G25" s="45">
        <f t="shared" si="5"/>
        <v>0</v>
      </c>
      <c r="H25" s="46">
        <f t="shared" si="5"/>
        <v>9469.6875</v>
      </c>
      <c r="I25" s="8">
        <f>SUM(D25:H25)</f>
        <v>37878.75</v>
      </c>
      <c r="J25" s="75"/>
      <c r="K25" s="74"/>
      <c r="L25" s="36"/>
      <c r="M25" s="64"/>
    </row>
    <row r="26" spans="1:13" x14ac:dyDescent="0.25">
      <c r="A26" s="86"/>
      <c r="B26" s="60"/>
      <c r="C26" s="9" t="s">
        <v>18</v>
      </c>
      <c r="D26" s="77">
        <f>D15/100*$F$3</f>
        <v>0</v>
      </c>
      <c r="E26" s="34">
        <f t="shared" ref="E26:H26" si="6">E15/100*$F$3</f>
        <v>0</v>
      </c>
      <c r="F26" s="34">
        <f t="shared" si="6"/>
        <v>1515.15</v>
      </c>
      <c r="G26" s="34">
        <f t="shared" si="6"/>
        <v>12121.2</v>
      </c>
      <c r="H26" s="78">
        <f t="shared" si="6"/>
        <v>1515.15</v>
      </c>
      <c r="I26" s="12">
        <f t="shared" ref="I26:I33" si="7">SUM(D26:H26)</f>
        <v>15151.5</v>
      </c>
      <c r="J26" s="75"/>
      <c r="K26" s="74"/>
      <c r="M26" s="64"/>
    </row>
    <row r="27" spans="1:13" x14ac:dyDescent="0.25">
      <c r="A27" s="86"/>
      <c r="B27" s="60"/>
      <c r="C27" s="5" t="s">
        <v>19</v>
      </c>
      <c r="D27" s="44">
        <f>D16/100*$F$4</f>
        <v>9999.99</v>
      </c>
      <c r="E27" s="45">
        <f t="shared" ref="E27:H27" si="8">E16/100*$F$4</f>
        <v>5454.54</v>
      </c>
      <c r="F27" s="45">
        <f t="shared" si="8"/>
        <v>545.45399999999995</v>
      </c>
      <c r="G27" s="45">
        <f t="shared" si="8"/>
        <v>0</v>
      </c>
      <c r="H27" s="46">
        <f t="shared" si="8"/>
        <v>2181.8159999999998</v>
      </c>
      <c r="I27" s="8">
        <f t="shared" si="7"/>
        <v>18181.8</v>
      </c>
      <c r="J27" s="75"/>
      <c r="K27" s="74"/>
      <c r="M27" s="64"/>
    </row>
    <row r="28" spans="1:13" x14ac:dyDescent="0.25">
      <c r="A28" s="86"/>
      <c r="B28" s="60"/>
      <c r="C28" s="9" t="s">
        <v>20</v>
      </c>
      <c r="D28" s="77">
        <f>D17/100*$F$5</f>
        <v>909.09</v>
      </c>
      <c r="E28" s="34">
        <f t="shared" ref="E28:H28" si="9">E17/100*$F$5</f>
        <v>772.72649999999999</v>
      </c>
      <c r="F28" s="34">
        <f t="shared" si="9"/>
        <v>2272.7249999999999</v>
      </c>
      <c r="G28" s="34">
        <f t="shared" si="9"/>
        <v>454.54500000000002</v>
      </c>
      <c r="H28" s="78">
        <f t="shared" si="9"/>
        <v>136.36349999999999</v>
      </c>
      <c r="I28" s="12">
        <f t="shared" si="7"/>
        <v>4545.45</v>
      </c>
      <c r="J28" s="75"/>
      <c r="K28" s="74"/>
      <c r="M28" s="64"/>
    </row>
    <row r="29" spans="1:13" x14ac:dyDescent="0.25">
      <c r="A29" s="86"/>
      <c r="B29" s="60"/>
      <c r="C29" s="5" t="s">
        <v>21</v>
      </c>
      <c r="D29" s="44">
        <f>D18/100*$F$6</f>
        <v>15909.074999999999</v>
      </c>
      <c r="E29" s="45">
        <f t="shared" ref="E29:H29" si="10">E18/100*$F$6</f>
        <v>3409.0875000000001</v>
      </c>
      <c r="F29" s="45">
        <f t="shared" si="10"/>
        <v>0</v>
      </c>
      <c r="G29" s="45">
        <f t="shared" si="10"/>
        <v>0</v>
      </c>
      <c r="H29" s="46">
        <f t="shared" si="10"/>
        <v>3409.0875000000001</v>
      </c>
      <c r="I29" s="8">
        <f t="shared" si="7"/>
        <v>22727.25</v>
      </c>
      <c r="J29" s="75"/>
      <c r="K29" s="74"/>
      <c r="M29" s="64"/>
    </row>
    <row r="30" spans="1:13" x14ac:dyDescent="0.25">
      <c r="A30" s="86"/>
      <c r="B30" s="60"/>
      <c r="C30" s="9" t="s">
        <v>22</v>
      </c>
      <c r="D30" s="77">
        <f>D19/100*$F$7</f>
        <v>0</v>
      </c>
      <c r="E30" s="34">
        <f t="shared" ref="E30:H30" si="11">E19/100*$F$7</f>
        <v>0</v>
      </c>
      <c r="F30" s="34">
        <f t="shared" si="11"/>
        <v>4242.42</v>
      </c>
      <c r="G30" s="34">
        <f t="shared" si="11"/>
        <v>1575.7560000000001</v>
      </c>
      <c r="H30" s="78">
        <f t="shared" si="11"/>
        <v>242.42400000000001</v>
      </c>
      <c r="I30" s="12">
        <f t="shared" si="7"/>
        <v>6060.6</v>
      </c>
      <c r="J30" s="75"/>
      <c r="K30" s="74"/>
      <c r="M30" s="64"/>
    </row>
    <row r="31" spans="1:13" x14ac:dyDescent="0.25">
      <c r="A31" s="86"/>
      <c r="B31" s="60"/>
      <c r="C31" s="5" t="s">
        <v>23</v>
      </c>
      <c r="D31" s="44">
        <f>D20/100*$F$8</f>
        <v>0</v>
      </c>
      <c r="E31" s="45">
        <f t="shared" ref="E31:H31" si="12">E20/100*$F$8</f>
        <v>0</v>
      </c>
      <c r="F31" s="45">
        <f t="shared" si="12"/>
        <v>6060.6</v>
      </c>
      <c r="G31" s="45">
        <f t="shared" si="12"/>
        <v>18181.8</v>
      </c>
      <c r="H31" s="46">
        <f t="shared" si="12"/>
        <v>6060.6</v>
      </c>
      <c r="I31" s="8">
        <f t="shared" si="7"/>
        <v>30303</v>
      </c>
      <c r="J31" s="75"/>
      <c r="K31" s="74"/>
    </row>
    <row r="32" spans="1:13" x14ac:dyDescent="0.25">
      <c r="A32" s="86"/>
      <c r="B32" s="60"/>
      <c r="C32" s="9" t="s">
        <v>24</v>
      </c>
      <c r="D32" s="77">
        <f>D21/100*$F$9</f>
        <v>0</v>
      </c>
      <c r="E32" s="34">
        <f t="shared" ref="E32:H32" si="13">E21/100*$F$9</f>
        <v>0</v>
      </c>
      <c r="F32" s="34">
        <f t="shared" si="13"/>
        <v>0</v>
      </c>
      <c r="G32" s="34">
        <f t="shared" si="13"/>
        <v>1499.9985000000001</v>
      </c>
      <c r="H32" s="78">
        <f t="shared" si="13"/>
        <v>15.1515</v>
      </c>
      <c r="I32" s="12">
        <f t="shared" si="7"/>
        <v>1515.15</v>
      </c>
      <c r="J32" s="75"/>
      <c r="K32" s="74"/>
    </row>
    <row r="33" spans="1:11" x14ac:dyDescent="0.25">
      <c r="A33" s="12"/>
      <c r="B33" s="60"/>
      <c r="C33" s="5" t="s">
        <v>25</v>
      </c>
      <c r="D33" s="47">
        <f>D22/100*$F$10</f>
        <v>0</v>
      </c>
      <c r="E33" s="48">
        <f t="shared" ref="E33:H33" si="14">E22/100*$F$10</f>
        <v>0</v>
      </c>
      <c r="F33" s="48">
        <f t="shared" si="14"/>
        <v>0</v>
      </c>
      <c r="G33" s="48">
        <f t="shared" si="14"/>
        <v>13636.35</v>
      </c>
      <c r="H33" s="49">
        <f t="shared" si="14"/>
        <v>1515.15</v>
      </c>
      <c r="I33" s="8">
        <f t="shared" si="7"/>
        <v>15151.5</v>
      </c>
      <c r="J33" s="75"/>
      <c r="K33" s="74"/>
    </row>
    <row r="34" spans="1:11" x14ac:dyDescent="0.25">
      <c r="A34" s="12"/>
      <c r="B34" s="60"/>
      <c r="C34" s="12"/>
      <c r="D34" s="34"/>
      <c r="E34" s="12"/>
      <c r="F34" s="12"/>
      <c r="G34" s="12"/>
      <c r="H34" s="12"/>
      <c r="I34">
        <f>SUM(I25:I33)</f>
        <v>151515</v>
      </c>
      <c r="J34" s="12"/>
      <c r="K34" s="74"/>
    </row>
    <row r="35" spans="1:1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</row>
    <row r="36" spans="1:11" ht="15.75" thickBot="1" x14ac:dyDescent="0.3">
      <c r="A36" s="12"/>
      <c r="B36" s="60"/>
      <c r="C36" s="12"/>
      <c r="D36" s="12"/>
      <c r="E36" s="12"/>
      <c r="F36" s="12"/>
      <c r="G36" s="12"/>
      <c r="H36" s="12"/>
      <c r="I36" s="12"/>
      <c r="J36" s="12"/>
      <c r="K36" s="74"/>
    </row>
    <row r="37" spans="1:11" ht="37.5" x14ac:dyDescent="0.25">
      <c r="A37" s="29" t="s">
        <v>42</v>
      </c>
      <c r="B37" s="60"/>
      <c r="C37" s="30" t="s">
        <v>1</v>
      </c>
      <c r="D37" s="30" t="s">
        <v>2</v>
      </c>
      <c r="E37" s="38" t="s">
        <v>4</v>
      </c>
      <c r="F37" s="2" t="s">
        <v>3</v>
      </c>
      <c r="G37" s="12"/>
      <c r="H37" s="12"/>
      <c r="I37" s="12"/>
      <c r="J37" s="12"/>
      <c r="K37" s="74"/>
    </row>
    <row r="38" spans="1:11" ht="15.75" x14ac:dyDescent="0.25">
      <c r="A38" s="82">
        <f>SUM(E38:E46)</f>
        <v>58969</v>
      </c>
      <c r="B38" s="60"/>
      <c r="C38" s="67" t="s">
        <v>54</v>
      </c>
      <c r="D38" s="31" t="s">
        <v>43</v>
      </c>
      <c r="E38" s="39">
        <v>1000</v>
      </c>
      <c r="F38" s="33">
        <f t="shared" ref="F38:F44" si="15">E38/$E$47*100</f>
        <v>1.6958062710915907</v>
      </c>
      <c r="G38" s="12"/>
      <c r="H38" s="12"/>
      <c r="I38" s="12"/>
      <c r="J38" s="12"/>
      <c r="K38" s="74"/>
    </row>
    <row r="39" spans="1:11" x14ac:dyDescent="0.25">
      <c r="A39" s="12"/>
      <c r="B39" s="60"/>
      <c r="C39" s="83" t="s">
        <v>55</v>
      </c>
      <c r="D39" s="9" t="s">
        <v>44</v>
      </c>
      <c r="E39" s="10">
        <v>12345</v>
      </c>
      <c r="F39" s="34">
        <f t="shared" si="15"/>
        <v>20.934728416625685</v>
      </c>
      <c r="G39" s="12"/>
      <c r="H39" s="12"/>
      <c r="I39" s="12"/>
      <c r="J39" s="12"/>
      <c r="K39" s="74"/>
    </row>
    <row r="40" spans="1:11" ht="15.75" thickBot="1" x14ac:dyDescent="0.3">
      <c r="A40" s="12"/>
      <c r="B40" s="60"/>
      <c r="C40" s="41" t="s">
        <v>56</v>
      </c>
      <c r="D40" s="31" t="s">
        <v>40</v>
      </c>
      <c r="E40" s="39">
        <v>22000</v>
      </c>
      <c r="F40" s="33">
        <f t="shared" si="15"/>
        <v>37.30773796401499</v>
      </c>
      <c r="G40" s="12"/>
      <c r="H40" s="12"/>
      <c r="I40" s="12"/>
      <c r="J40" s="12"/>
      <c r="K40" s="74"/>
    </row>
    <row r="41" spans="1:11" ht="19.5" thickBot="1" x14ac:dyDescent="0.35">
      <c r="A41" s="35" t="s">
        <v>7</v>
      </c>
      <c r="B41" s="60"/>
      <c r="C41" s="83" t="s">
        <v>57</v>
      </c>
      <c r="D41" s="9" t="s">
        <v>41</v>
      </c>
      <c r="E41" s="10">
        <v>124</v>
      </c>
      <c r="F41" s="34">
        <f t="shared" si="15"/>
        <v>0.21027997761535722</v>
      </c>
      <c r="G41" s="12"/>
      <c r="H41" s="12"/>
      <c r="I41" s="12"/>
      <c r="J41" s="12"/>
      <c r="K41" s="74"/>
    </row>
    <row r="42" spans="1:11" x14ac:dyDescent="0.25">
      <c r="A42" s="12"/>
      <c r="B42" s="60"/>
      <c r="C42" s="67" t="s">
        <v>58</v>
      </c>
      <c r="D42" s="31" t="s">
        <v>10</v>
      </c>
      <c r="E42" s="39">
        <v>5000</v>
      </c>
      <c r="F42" s="33">
        <f t="shared" si="15"/>
        <v>8.4790313554579519</v>
      </c>
      <c r="G42" s="12"/>
      <c r="H42" s="12"/>
      <c r="I42" s="12"/>
      <c r="J42" s="12"/>
      <c r="K42" s="74"/>
    </row>
    <row r="43" spans="1:11" x14ac:dyDescent="0.25">
      <c r="A43" s="12"/>
      <c r="B43" s="60"/>
      <c r="C43" s="68" t="s">
        <v>59</v>
      </c>
      <c r="D43" s="9" t="s">
        <v>11</v>
      </c>
      <c r="E43" s="10">
        <v>2000</v>
      </c>
      <c r="F43" s="34">
        <f t="shared" si="15"/>
        <v>3.3916125421831813</v>
      </c>
      <c r="G43" s="12"/>
      <c r="H43" s="12"/>
      <c r="I43" s="12"/>
      <c r="J43" s="12"/>
      <c r="K43" s="74"/>
    </row>
    <row r="44" spans="1:11" x14ac:dyDescent="0.25">
      <c r="A44" s="12"/>
      <c r="B44" s="60"/>
      <c r="C44" s="67" t="s">
        <v>60</v>
      </c>
      <c r="D44" s="31" t="s">
        <v>62</v>
      </c>
      <c r="E44" s="39">
        <v>4000</v>
      </c>
      <c r="F44" s="33">
        <f t="shared" si="15"/>
        <v>6.7832250843663626</v>
      </c>
      <c r="G44" s="12"/>
      <c r="H44" s="12"/>
      <c r="I44" s="12"/>
      <c r="J44" s="12"/>
      <c r="K44" s="74"/>
    </row>
    <row r="45" spans="1:11" x14ac:dyDescent="0.25">
      <c r="A45" s="12"/>
      <c r="B45" s="60"/>
      <c r="C45" s="68" t="s">
        <v>65</v>
      </c>
      <c r="D45" s="9" t="s">
        <v>63</v>
      </c>
      <c r="E45" s="10">
        <v>10000</v>
      </c>
      <c r="F45" s="34">
        <f t="shared" ref="F45:F46" si="16">E45/$E$47*100</f>
        <v>16.958062710915904</v>
      </c>
      <c r="G45" s="12"/>
      <c r="H45" s="12"/>
      <c r="I45" s="12"/>
      <c r="J45" s="12"/>
      <c r="K45" s="74"/>
    </row>
    <row r="46" spans="1:11" ht="30" x14ac:dyDescent="0.25">
      <c r="A46" s="12"/>
      <c r="B46" s="60"/>
      <c r="C46" s="67" t="s">
        <v>66</v>
      </c>
      <c r="D46" s="69" t="s">
        <v>64</v>
      </c>
      <c r="E46" s="70">
        <v>2500</v>
      </c>
      <c r="F46" s="71">
        <f t="shared" si="16"/>
        <v>4.239515677728976</v>
      </c>
      <c r="G46" s="12"/>
      <c r="H46" s="12"/>
      <c r="I46" s="12"/>
      <c r="J46" s="12"/>
      <c r="K46" s="74"/>
    </row>
    <row r="47" spans="1:11" ht="15.75" customHeight="1" thickBot="1" x14ac:dyDescent="0.3">
      <c r="A47" s="85" t="s">
        <v>68</v>
      </c>
      <c r="B47" s="60"/>
      <c r="C47" s="68" t="s">
        <v>61</v>
      </c>
      <c r="D47" s="9" t="s">
        <v>27</v>
      </c>
      <c r="E47" s="40">
        <f>SUM(E38:E46)</f>
        <v>58969</v>
      </c>
      <c r="F47" s="34">
        <f>SUM(F38:F46)</f>
        <v>100</v>
      </c>
      <c r="G47" s="12"/>
      <c r="H47" s="12"/>
      <c r="I47" s="12"/>
      <c r="J47" s="12"/>
      <c r="K47" s="74"/>
    </row>
    <row r="48" spans="1:11" x14ac:dyDescent="0.25">
      <c r="A48" s="85"/>
      <c r="B48" s="60"/>
      <c r="C48" s="12"/>
      <c r="D48" s="12"/>
      <c r="E48" s="12"/>
      <c r="F48" s="12"/>
      <c r="G48" s="12"/>
      <c r="H48" s="12"/>
      <c r="I48" s="12"/>
      <c r="J48" s="12"/>
      <c r="K48" s="74"/>
    </row>
    <row r="49" spans="1:11" ht="18.75" x14ac:dyDescent="0.3">
      <c r="A49" s="85"/>
      <c r="B49" s="60"/>
      <c r="C49" s="12"/>
      <c r="D49" s="84" t="s">
        <v>45</v>
      </c>
      <c r="E49" s="84"/>
      <c r="F49" s="84"/>
      <c r="G49" s="84"/>
      <c r="H49" s="12"/>
      <c r="I49" s="12"/>
      <c r="J49" s="12"/>
      <c r="K49" s="74"/>
    </row>
    <row r="50" spans="1:11" ht="27" x14ac:dyDescent="0.25">
      <c r="A50" s="85"/>
      <c r="B50" s="60"/>
      <c r="C50" s="16" t="s">
        <v>1</v>
      </c>
      <c r="D50" s="79" t="s">
        <v>52</v>
      </c>
      <c r="E50" s="80" t="s">
        <v>46</v>
      </c>
      <c r="F50" s="80" t="s">
        <v>47</v>
      </c>
      <c r="G50" s="81" t="s">
        <v>48</v>
      </c>
      <c r="H50" s="20" t="s">
        <v>31</v>
      </c>
      <c r="I50" s="12"/>
      <c r="J50" s="12"/>
      <c r="K50" s="74"/>
    </row>
    <row r="51" spans="1:11" x14ac:dyDescent="0.25">
      <c r="A51" s="85"/>
      <c r="B51" s="60"/>
      <c r="C51" s="31" t="s">
        <v>54</v>
      </c>
      <c r="D51" s="50">
        <v>0</v>
      </c>
      <c r="E51" s="32">
        <v>0</v>
      </c>
      <c r="F51" s="32">
        <v>0</v>
      </c>
      <c r="G51" s="51">
        <v>100</v>
      </c>
      <c r="H51" s="37">
        <f>SUM(D51:G51)</f>
        <v>100</v>
      </c>
      <c r="I51" s="12"/>
      <c r="J51" s="12"/>
      <c r="K51" s="74"/>
    </row>
    <row r="52" spans="1:11" x14ac:dyDescent="0.25">
      <c r="A52" s="85"/>
      <c r="B52" s="60"/>
      <c r="C52" s="83" t="s">
        <v>55</v>
      </c>
      <c r="D52" s="52">
        <v>0</v>
      </c>
      <c r="E52" s="12">
        <v>0</v>
      </c>
      <c r="F52" s="12">
        <v>0</v>
      </c>
      <c r="G52" s="53">
        <v>100</v>
      </c>
      <c r="H52" s="12">
        <f>SUM(D52:G52)</f>
        <v>100</v>
      </c>
      <c r="I52" s="12"/>
      <c r="J52" s="12"/>
      <c r="K52" s="74"/>
    </row>
    <row r="53" spans="1:11" x14ac:dyDescent="0.25">
      <c r="A53" s="85"/>
      <c r="B53" s="60"/>
      <c r="C53" s="41" t="s">
        <v>56</v>
      </c>
      <c r="D53" s="50">
        <v>0</v>
      </c>
      <c r="E53" s="32">
        <v>0</v>
      </c>
      <c r="F53" s="32">
        <v>0</v>
      </c>
      <c r="G53" s="51">
        <v>100</v>
      </c>
      <c r="H53" s="32">
        <f>SUM(D53:G53)</f>
        <v>100</v>
      </c>
      <c r="I53" s="12"/>
      <c r="J53" s="12"/>
      <c r="K53" s="74"/>
    </row>
    <row r="54" spans="1:11" x14ac:dyDescent="0.25">
      <c r="A54" s="85"/>
      <c r="B54" s="60"/>
      <c r="C54" s="83" t="s">
        <v>57</v>
      </c>
      <c r="D54" s="52">
        <v>0</v>
      </c>
      <c r="E54" s="12">
        <v>0</v>
      </c>
      <c r="F54" s="12">
        <v>0</v>
      </c>
      <c r="G54" s="53">
        <v>100</v>
      </c>
      <c r="H54" s="12">
        <f>SUM(D54:G54)</f>
        <v>100</v>
      </c>
      <c r="I54" s="12"/>
      <c r="J54" s="12"/>
      <c r="K54" s="74"/>
    </row>
    <row r="55" spans="1:11" x14ac:dyDescent="0.25">
      <c r="A55" s="85"/>
      <c r="B55" s="60"/>
      <c r="C55" s="31" t="s">
        <v>58</v>
      </c>
      <c r="D55" s="50">
        <v>0</v>
      </c>
      <c r="E55" s="32">
        <v>0</v>
      </c>
      <c r="F55" s="32">
        <v>0</v>
      </c>
      <c r="G55" s="51">
        <v>100</v>
      </c>
      <c r="H55" s="32">
        <f>SUM(D55:G55)</f>
        <v>100</v>
      </c>
      <c r="I55" s="12"/>
      <c r="J55" s="12"/>
      <c r="K55" s="74"/>
    </row>
    <row r="56" spans="1:11" x14ac:dyDescent="0.25">
      <c r="A56" s="85"/>
      <c r="B56" s="60"/>
      <c r="C56" s="9" t="s">
        <v>59</v>
      </c>
      <c r="D56" s="52">
        <v>0</v>
      </c>
      <c r="E56" s="12">
        <v>10</v>
      </c>
      <c r="F56" s="12">
        <v>0</v>
      </c>
      <c r="G56" s="53">
        <v>90</v>
      </c>
      <c r="H56" s="12">
        <f t="shared" ref="H56:H59" si="17">SUM(D56:G56)</f>
        <v>100</v>
      </c>
      <c r="I56" s="12"/>
      <c r="J56" s="12"/>
      <c r="K56" s="74"/>
    </row>
    <row r="57" spans="1:11" x14ac:dyDescent="0.25">
      <c r="A57" s="85"/>
      <c r="B57" s="60"/>
      <c r="C57" s="31" t="s">
        <v>60</v>
      </c>
      <c r="D57" s="50">
        <v>20</v>
      </c>
      <c r="E57" s="32">
        <v>20</v>
      </c>
      <c r="F57" s="32">
        <v>60</v>
      </c>
      <c r="G57" s="51">
        <v>0</v>
      </c>
      <c r="H57" s="32">
        <f t="shared" si="17"/>
        <v>100</v>
      </c>
      <c r="I57" s="12"/>
      <c r="J57" s="12"/>
      <c r="K57" s="74"/>
    </row>
    <row r="58" spans="1:11" x14ac:dyDescent="0.25">
      <c r="A58" s="85"/>
      <c r="B58" s="60"/>
      <c r="C58" s="9" t="s">
        <v>65</v>
      </c>
      <c r="D58" s="52">
        <v>10</v>
      </c>
      <c r="E58" s="12">
        <v>40</v>
      </c>
      <c r="F58" s="12">
        <v>50</v>
      </c>
      <c r="G58" s="53">
        <v>0</v>
      </c>
      <c r="H58" s="12">
        <f t="shared" si="17"/>
        <v>100</v>
      </c>
      <c r="I58" s="12"/>
      <c r="J58" s="12"/>
      <c r="K58" s="74"/>
    </row>
    <row r="59" spans="1:11" ht="15.75" thickBot="1" x14ac:dyDescent="0.3">
      <c r="A59" s="85"/>
      <c r="B59" s="60"/>
      <c r="C59" s="31" t="s">
        <v>66</v>
      </c>
      <c r="D59" s="54">
        <v>10</v>
      </c>
      <c r="E59" s="55">
        <v>40</v>
      </c>
      <c r="F59" s="55">
        <v>50</v>
      </c>
      <c r="G59" s="56">
        <v>0</v>
      </c>
      <c r="H59" s="32">
        <f t="shared" si="17"/>
        <v>100</v>
      </c>
      <c r="I59" s="12"/>
      <c r="J59" s="12"/>
      <c r="K59" s="74"/>
    </row>
    <row r="60" spans="1:11" x14ac:dyDescent="0.25">
      <c r="A60" s="85"/>
      <c r="B60" s="60"/>
      <c r="C60" s="9"/>
      <c r="D60" s="12"/>
      <c r="E60" s="12"/>
      <c r="F60" s="12"/>
      <c r="G60" s="12"/>
      <c r="H60" s="12"/>
      <c r="I60" s="12"/>
      <c r="J60" s="12"/>
      <c r="K60" s="74"/>
    </row>
    <row r="61" spans="1:11" ht="27" x14ac:dyDescent="0.25">
      <c r="A61" s="85"/>
      <c r="B61" s="60"/>
      <c r="C61" s="16" t="s">
        <v>1</v>
      </c>
      <c r="D61" s="42" t="s">
        <v>53</v>
      </c>
      <c r="E61" s="27" t="s">
        <v>49</v>
      </c>
      <c r="F61" s="27" t="s">
        <v>50</v>
      </c>
      <c r="G61" s="43" t="s">
        <v>51</v>
      </c>
      <c r="H61" s="20" t="s">
        <v>37</v>
      </c>
      <c r="I61" s="12"/>
      <c r="J61" s="12"/>
      <c r="K61" s="74"/>
    </row>
    <row r="62" spans="1:11" x14ac:dyDescent="0.25">
      <c r="A62" s="85"/>
      <c r="B62" s="60"/>
      <c r="C62" s="31" t="s">
        <v>54</v>
      </c>
      <c r="D62" s="72">
        <f>D51*$E$38/100</f>
        <v>0</v>
      </c>
      <c r="E62" s="37">
        <f t="shared" ref="E62:G62" si="18">E51*$E$38/100</f>
        <v>0</v>
      </c>
      <c r="F62" s="37">
        <f t="shared" si="18"/>
        <v>0</v>
      </c>
      <c r="G62" s="73">
        <f t="shared" si="18"/>
        <v>1000</v>
      </c>
      <c r="H62" s="32">
        <f>SUM(D62:G62)</f>
        <v>1000</v>
      </c>
      <c r="I62" s="12"/>
      <c r="J62" s="12"/>
      <c r="K62" s="74"/>
    </row>
    <row r="63" spans="1:11" x14ac:dyDescent="0.25">
      <c r="A63" s="85"/>
      <c r="B63" s="60"/>
      <c r="C63" s="83" t="s">
        <v>55</v>
      </c>
      <c r="D63" s="59">
        <f>D52*$E$39/100</f>
        <v>0</v>
      </c>
      <c r="E63" s="12">
        <f t="shared" ref="E63:G63" si="19">E52*$E$39/100</f>
        <v>0</v>
      </c>
      <c r="F63" s="12">
        <f t="shared" si="19"/>
        <v>0</v>
      </c>
      <c r="G63" s="60">
        <f t="shared" si="19"/>
        <v>12345</v>
      </c>
      <c r="H63" s="12">
        <f t="shared" ref="H63:H70" si="20">SUM(D63:G63)</f>
        <v>12345</v>
      </c>
      <c r="I63" s="12"/>
      <c r="J63" s="12"/>
      <c r="K63" s="74"/>
    </row>
    <row r="64" spans="1:11" x14ac:dyDescent="0.25">
      <c r="A64" s="85"/>
      <c r="B64" s="60"/>
      <c r="C64" s="41" t="s">
        <v>56</v>
      </c>
      <c r="D64" s="57">
        <f>D53*$E$40/100</f>
        <v>0</v>
      </c>
      <c r="E64" s="32">
        <f t="shared" ref="E64:G64" si="21">E53*$E$40/100</f>
        <v>0</v>
      </c>
      <c r="F64" s="32">
        <f t="shared" si="21"/>
        <v>0</v>
      </c>
      <c r="G64" s="58">
        <f t="shared" si="21"/>
        <v>22000</v>
      </c>
      <c r="H64" s="32">
        <f t="shared" si="20"/>
        <v>22000</v>
      </c>
      <c r="I64" s="12"/>
      <c r="J64" s="12"/>
      <c r="K64" s="74"/>
    </row>
    <row r="65" spans="1:11" x14ac:dyDescent="0.25">
      <c r="A65" s="85"/>
      <c r="B65" s="60"/>
      <c r="C65" s="83" t="s">
        <v>57</v>
      </c>
      <c r="D65" s="59">
        <f>D54*$E$41/100</f>
        <v>0</v>
      </c>
      <c r="E65" s="12">
        <f t="shared" ref="E65:G65" si="22">E54*$E$41/100</f>
        <v>0</v>
      </c>
      <c r="F65" s="12">
        <f t="shared" si="22"/>
        <v>0</v>
      </c>
      <c r="G65" s="60">
        <f t="shared" si="22"/>
        <v>124</v>
      </c>
      <c r="H65" s="12">
        <f t="shared" si="20"/>
        <v>124</v>
      </c>
      <c r="I65" s="12"/>
      <c r="J65" s="12"/>
      <c r="K65" s="74"/>
    </row>
    <row r="66" spans="1:11" x14ac:dyDescent="0.25">
      <c r="A66" s="85"/>
      <c r="B66" s="60"/>
      <c r="C66" s="31" t="s">
        <v>58</v>
      </c>
      <c r="D66" s="57">
        <f>D55*$E$42/100</f>
        <v>0</v>
      </c>
      <c r="E66" s="32">
        <f t="shared" ref="E66:G66" si="23">E55*$E$42/100</f>
        <v>0</v>
      </c>
      <c r="F66" s="32">
        <f t="shared" si="23"/>
        <v>0</v>
      </c>
      <c r="G66" s="58">
        <f t="shared" si="23"/>
        <v>5000</v>
      </c>
      <c r="H66" s="32">
        <f t="shared" si="20"/>
        <v>5000</v>
      </c>
      <c r="I66" s="12"/>
      <c r="J66" s="12"/>
      <c r="K66" s="74"/>
    </row>
    <row r="67" spans="1:11" x14ac:dyDescent="0.25">
      <c r="A67" s="85"/>
      <c r="B67" s="60"/>
      <c r="C67" s="9" t="s">
        <v>59</v>
      </c>
      <c r="D67" s="59">
        <f>D56*$E$43/100</f>
        <v>0</v>
      </c>
      <c r="E67" s="12">
        <f t="shared" ref="E67:G67" si="24">E56*$E$43/100</f>
        <v>200</v>
      </c>
      <c r="F67" s="12">
        <f t="shared" si="24"/>
        <v>0</v>
      </c>
      <c r="G67" s="60">
        <f t="shared" si="24"/>
        <v>1800</v>
      </c>
      <c r="H67" s="12">
        <f t="shared" si="20"/>
        <v>2000</v>
      </c>
      <c r="I67" s="12"/>
      <c r="J67" s="12"/>
      <c r="K67" s="74"/>
    </row>
    <row r="68" spans="1:11" x14ac:dyDescent="0.25">
      <c r="A68" s="85"/>
      <c r="B68" s="60"/>
      <c r="C68" s="31" t="s">
        <v>60</v>
      </c>
      <c r="D68" s="57">
        <f>D57*$E$44/100</f>
        <v>800</v>
      </c>
      <c r="E68" s="32">
        <f t="shared" ref="E68:G68" si="25">E57*$E$44/100</f>
        <v>800</v>
      </c>
      <c r="F68" s="32">
        <f t="shared" si="25"/>
        <v>2400</v>
      </c>
      <c r="G68" s="58">
        <f t="shared" si="25"/>
        <v>0</v>
      </c>
      <c r="H68" s="32">
        <f t="shared" si="20"/>
        <v>4000</v>
      </c>
      <c r="I68" s="12"/>
      <c r="J68" s="12"/>
      <c r="K68" s="74"/>
    </row>
    <row r="69" spans="1:11" x14ac:dyDescent="0.25">
      <c r="A69" s="85"/>
      <c r="B69" s="60"/>
      <c r="C69" s="9" t="s">
        <v>65</v>
      </c>
      <c r="D69" s="59">
        <f>D58*$E$45/100</f>
        <v>1000</v>
      </c>
      <c r="E69" s="12">
        <f t="shared" ref="E69:G69" si="26">E58*$E$45/100</f>
        <v>4000</v>
      </c>
      <c r="F69" s="12">
        <f t="shared" si="26"/>
        <v>5000</v>
      </c>
      <c r="G69" s="60">
        <f t="shared" si="26"/>
        <v>0</v>
      </c>
      <c r="H69" s="12">
        <f t="shared" si="20"/>
        <v>10000</v>
      </c>
      <c r="I69" s="12"/>
      <c r="J69" s="12"/>
      <c r="K69" s="74"/>
    </row>
    <row r="70" spans="1:11" x14ac:dyDescent="0.25">
      <c r="A70" s="85"/>
      <c r="B70" s="60"/>
      <c r="C70" s="31" t="s">
        <v>66</v>
      </c>
      <c r="D70" s="61">
        <f>D59*$E$46/100</f>
        <v>250</v>
      </c>
      <c r="E70" s="62">
        <f t="shared" ref="E70:G70" si="27">E59*$E$46/100</f>
        <v>1000</v>
      </c>
      <c r="F70" s="62">
        <f t="shared" si="27"/>
        <v>1250</v>
      </c>
      <c r="G70" s="63">
        <f t="shared" si="27"/>
        <v>0</v>
      </c>
      <c r="H70" s="32">
        <f t="shared" si="20"/>
        <v>2500</v>
      </c>
      <c r="I70" s="12"/>
      <c r="J70" s="12"/>
      <c r="K70" s="74"/>
    </row>
    <row r="71" spans="1:11" x14ac:dyDescent="0.25">
      <c r="A71" s="85"/>
      <c r="B71" s="60"/>
      <c r="C71" s="9"/>
      <c r="D71" s="12"/>
      <c r="E71" s="12"/>
      <c r="F71" s="12"/>
      <c r="G71" s="12"/>
      <c r="H71" s="12"/>
      <c r="I71" s="12"/>
      <c r="J71" s="12"/>
      <c r="K71" s="74"/>
    </row>
    <row r="72" spans="1:11" x14ac:dyDescent="0.25">
      <c r="A72" s="85"/>
      <c r="B72" s="60"/>
      <c r="C72" s="12"/>
      <c r="D72" s="12"/>
      <c r="E72" s="12"/>
      <c r="F72" s="12"/>
      <c r="G72" s="12"/>
      <c r="H72" s="12"/>
      <c r="I72" s="12"/>
      <c r="J72" s="12"/>
      <c r="K72" s="74"/>
    </row>
    <row r="73" spans="1:11" x14ac:dyDescent="0.25">
      <c r="A73" s="85"/>
      <c r="B73" s="60"/>
      <c r="C73" s="12"/>
      <c r="D73" s="12"/>
      <c r="E73" s="12"/>
      <c r="F73" s="12"/>
      <c r="G73" s="12"/>
      <c r="H73" s="12"/>
      <c r="I73" s="12"/>
      <c r="J73" s="12"/>
      <c r="K73" s="74"/>
    </row>
    <row r="74" spans="1:11" x14ac:dyDescent="0.25">
      <c r="A74" s="85"/>
      <c r="B74" s="60"/>
      <c r="C74" s="12"/>
      <c r="D74" s="12"/>
      <c r="E74" s="12"/>
      <c r="F74" s="12"/>
      <c r="G74" s="12"/>
      <c r="H74" s="12"/>
      <c r="I74" s="12"/>
      <c r="J74" s="12"/>
      <c r="K74" s="74"/>
    </row>
    <row r="75" spans="1:11" x14ac:dyDescent="0.25">
      <c r="A75" s="12"/>
      <c r="B75" s="60"/>
      <c r="C75" s="12"/>
      <c r="D75" s="12"/>
      <c r="E75" s="12"/>
      <c r="F75" s="12"/>
      <c r="G75" s="12"/>
      <c r="H75" s="12"/>
      <c r="I75" s="12"/>
      <c r="J75" s="12"/>
      <c r="K75" s="74"/>
    </row>
    <row r="76" spans="1:11" x14ac:dyDescent="0.25">
      <c r="A76" s="12"/>
      <c r="B76" s="60"/>
      <c r="C76" s="12"/>
      <c r="D76" s="12"/>
      <c r="E76" s="12"/>
      <c r="F76" s="12"/>
      <c r="G76" s="12"/>
      <c r="H76" s="12"/>
      <c r="I76" s="12"/>
      <c r="J76" s="12"/>
      <c r="K76" s="74"/>
    </row>
    <row r="77" spans="1:11" ht="228" customHeight="1" x14ac:dyDescent="0.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</row>
  </sheetData>
  <mergeCells count="3">
    <mergeCell ref="A9:A32"/>
    <mergeCell ref="A47:A74"/>
    <mergeCell ref="D49:G49"/>
  </mergeCells>
  <phoneticPr fontId="6" type="noConversion"/>
  <conditionalFormatting sqref="H51:H59">
    <cfRule type="cellIs" dxfId="0" priority="1" operator="notEqual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Diogo Franco Gouveia</dc:creator>
  <cp:lastModifiedBy>Francisco Diogo Franco Gouveia</cp:lastModifiedBy>
  <dcterms:created xsi:type="dcterms:W3CDTF">2024-03-25T12:52:23Z</dcterms:created>
  <dcterms:modified xsi:type="dcterms:W3CDTF">2024-07-15T17:15:05Z</dcterms:modified>
</cp:coreProperties>
</file>