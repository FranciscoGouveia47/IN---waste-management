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gouv\PycharmProjects\IN+\Files\"/>
    </mc:Choice>
  </mc:AlternateContent>
  <xr:revisionPtr revIDLastSave="0" documentId="13_ncr:1_{D5AB07E6-7524-4C06-A9D8-536FB3E42EA0}" xr6:coauthVersionLast="47" xr6:coauthVersionMax="47" xr10:uidLastSave="{00000000-0000-0000-0000-000000000000}"/>
  <bookViews>
    <workbookView xWindow="-120" yWindow="-120" windowWidth="20730" windowHeight="11160" xr2:uid="{84341E79-AEA6-4457-B501-811FED569B63}"/>
  </bookViews>
  <sheets>
    <sheet name="Assumptio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5" i="1" l="1"/>
  <c r="E54" i="1"/>
  <c r="E47" i="1"/>
  <c r="E46" i="1"/>
  <c r="B62" i="1"/>
  <c r="B77" i="1" l="1"/>
  <c r="B71" i="1" l="1"/>
  <c r="B70" i="1"/>
  <c r="B55" i="1"/>
  <c r="B54" i="1"/>
  <c r="B46" i="1"/>
  <c r="B47" i="1"/>
</calcChain>
</file>

<file path=xl/sharedStrings.xml><?xml version="1.0" encoding="utf-8"?>
<sst xmlns="http://schemas.openxmlformats.org/spreadsheetml/2006/main" count="396" uniqueCount="144">
  <si>
    <t>Table 1: DOC contents</t>
  </si>
  <si>
    <t>MSW component</t>
  </si>
  <si>
    <t>Dry matter content in % of wet weight</t>
  </si>
  <si>
    <t>DOC content in % of wet waste</t>
  </si>
  <si>
    <t>DOC content in % of dry waste</t>
  </si>
  <si>
    <t>Total carbon content in % of dry weight</t>
  </si>
  <si>
    <t>Fossil carbon fraction in % of total carbon</t>
  </si>
  <si>
    <t>Paper/Cardboard</t>
  </si>
  <si>
    <t>Textiles</t>
  </si>
  <si>
    <t>Food waste</t>
  </si>
  <si>
    <t>Wood</t>
  </si>
  <si>
    <t>Garden and Park waste</t>
  </si>
  <si>
    <t>Rubber and Leather</t>
  </si>
  <si>
    <t>Plastics</t>
  </si>
  <si>
    <t>Metal</t>
  </si>
  <si>
    <t>Glass</t>
  </si>
  <si>
    <t>Other, inert waste</t>
  </si>
  <si>
    <t>Default</t>
  </si>
  <si>
    <t>-</t>
  </si>
  <si>
    <t>NA</t>
  </si>
  <si>
    <t>67</t>
  </si>
  <si>
    <t>0</t>
  </si>
  <si>
    <t>10</t>
  </si>
  <si>
    <t>20</t>
  </si>
  <si>
    <t>Type of Site</t>
  </si>
  <si>
    <t>Methane Correction Factor (MCF) Default Values</t>
  </si>
  <si>
    <t>Table 2.1: METHANE CORRECTION FACTORS (MCF)</t>
  </si>
  <si>
    <t>Table 2.2: Oxidation Factor (OX)</t>
  </si>
  <si>
    <t>Managed, unmanaged and uncategorised SWDS</t>
  </si>
  <si>
    <t>Managed covered with CH4 oxidising material</t>
  </si>
  <si>
    <t>Type of waste</t>
  </si>
  <si>
    <t>Tropical (MAT &gt; 20°C)</t>
  </si>
  <si>
    <t>Dry (MAP/PET &lt; 1)</t>
  </si>
  <si>
    <t>Wet (MAP/PET &gt; 1)</t>
  </si>
  <si>
    <t>Dry (MAP &lt; 1000 mm)</t>
  </si>
  <si>
    <t>Moist and Wet (MAP ≥ 1000 mm)</t>
  </si>
  <si>
    <t>Paper/textiles waste</t>
  </si>
  <si>
    <t>Wood/ straw waste</t>
  </si>
  <si>
    <t>Other (non – food) organic putrescible/ Garden and park waste</t>
  </si>
  <si>
    <t>Food waste/Sewage sludge</t>
  </si>
  <si>
    <t>Bulk Waste</t>
  </si>
  <si>
    <t>Separately collected  waste</t>
  </si>
  <si>
    <t>Separately collected metal to sorting and recycling</t>
  </si>
  <si>
    <t>ton of CO2 (eq)/ton material</t>
  </si>
  <si>
    <t>Separately collected plastic to sorting and recycling</t>
  </si>
  <si>
    <t>Separately collected paper/cardboard to sorting and recycling</t>
  </si>
  <si>
    <t>Separately collected glass to sorting and recycling</t>
  </si>
  <si>
    <t>Separately collected biowaste to composting</t>
  </si>
  <si>
    <t>Separately collected biowaste to AD</t>
  </si>
  <si>
    <t>Mixed Waste</t>
  </si>
  <si>
    <t>Mixed waste to MBT</t>
  </si>
  <si>
    <t>Mixed waste to incineration</t>
  </si>
  <si>
    <t>Mixed waste to landfill</t>
  </si>
  <si>
    <t>Table 4: GHG emission factors for waste collection and transport</t>
  </si>
  <si>
    <t>fraction of DOC that can decompose under anaerobic conditions (DODf)</t>
  </si>
  <si>
    <t>Methane Correction Factor (MCF)</t>
  </si>
  <si>
    <t>CH4/C mass ratio</t>
  </si>
  <si>
    <t>fraction of CH4 in generated gas(F)</t>
  </si>
  <si>
    <t>Min</t>
  </si>
  <si>
    <t>Max</t>
  </si>
  <si>
    <t>45</t>
  </si>
  <si>
    <t>40</t>
  </si>
  <si>
    <t>46</t>
  </si>
  <si>
    <t>22</t>
  </si>
  <si>
    <t>39</t>
  </si>
  <si>
    <t>50</t>
  </si>
  <si>
    <t>54</t>
  </si>
  <si>
    <t>55</t>
  </si>
  <si>
    <t>47</t>
  </si>
  <si>
    <t>85</t>
  </si>
  <si>
    <t>5</t>
  </si>
  <si>
    <t>100</t>
  </si>
  <si>
    <t>23</t>
  </si>
  <si>
    <t>69</t>
  </si>
  <si>
    <t>17</t>
  </si>
  <si>
    <t>14</t>
  </si>
  <si>
    <t>12</t>
  </si>
  <si>
    <t>9</t>
  </si>
  <si>
    <t>35</t>
  </si>
  <si>
    <t>6</t>
  </si>
  <si>
    <t>3</t>
  </si>
  <si>
    <t>29</t>
  </si>
  <si>
    <t>4</t>
  </si>
  <si>
    <t>8</t>
  </si>
  <si>
    <t>1</t>
  </si>
  <si>
    <t>Table 3: RECOMMENDED DEFAULT HALF-LIFE VALUES (YR)</t>
  </si>
  <si>
    <t>Managed (anaerobic)</t>
  </si>
  <si>
    <t>Managed (semi-aerobic)</t>
  </si>
  <si>
    <t>Unmanaged [deep ( &gt;5 m waste) and /or high water table]</t>
  </si>
  <si>
    <t>Unmanaged  [shallow (&lt;5 m waste)]</t>
  </si>
  <si>
    <t>Oxidation Factor (OX) Default values</t>
  </si>
  <si>
    <t>CO2/C mass ratio</t>
  </si>
  <si>
    <t>Oxidation Factor (OX)</t>
  </si>
  <si>
    <t>Methane Recovery Factor (R)</t>
  </si>
  <si>
    <t>Table 8: Landfill Parameters</t>
  </si>
  <si>
    <t>Table 9: Gasification Parameters</t>
  </si>
  <si>
    <t>Table 7: Incineration Parameters</t>
  </si>
  <si>
    <t>Table 10: Recycling Parameters</t>
  </si>
  <si>
    <t>Ferrous metal</t>
  </si>
  <si>
    <t>Non-ferrous metal</t>
  </si>
  <si>
    <t>PET</t>
  </si>
  <si>
    <t>HDPE</t>
  </si>
  <si>
    <t>Paper/cardboard</t>
  </si>
  <si>
    <t>Emission factors (t CO2(eq)/t recycled material)</t>
  </si>
  <si>
    <t>Material recovery factors (t recycled material/t material recycled)</t>
  </si>
  <si>
    <t>Flare efficiency</t>
  </si>
  <si>
    <t>CO2/CH4 mass ratio</t>
  </si>
  <si>
    <t>Correction factor for 1Kg of CH4</t>
  </si>
  <si>
    <t>Correction factor for 1Kg of NO2</t>
  </si>
  <si>
    <t>Table 2.3: Correction factor for greenhouse gases (CO2eq)</t>
  </si>
  <si>
    <t>Type of incineration/technology</t>
  </si>
  <si>
    <t>CH4 Emission Factors (kg/Gg waste incinerated on a wet weight basis)</t>
  </si>
  <si>
    <t>Continuous incineration</t>
  </si>
  <si>
    <t>Semi-continuous incineration</t>
  </si>
  <si>
    <t>Batch type incineration</t>
  </si>
  <si>
    <t>Table 7.1: CH4 EMISSION FACTORS FOR INCINERATION OF MSW</t>
  </si>
  <si>
    <t>Table 7.2: N2O EMISSION FACTORS FOR INCINERATION OF MSW</t>
  </si>
  <si>
    <t>N2O Emission Factors (kg/Gg waste incinerated on a wet weight basis)</t>
  </si>
  <si>
    <t xml:space="preserve"> Default CH4 emission factor (Kg/Gg MSW wet weight)</t>
  </si>
  <si>
    <t xml:space="preserve"> Default N2O emission factor (Kg/Gg MSW wet weight)</t>
  </si>
  <si>
    <t>Biowaste (Food Waste)</t>
  </si>
  <si>
    <t>Biowaste (Wood)</t>
  </si>
  <si>
    <t>Biowaste (Garden and Park waste)</t>
  </si>
  <si>
    <t>N/A</t>
  </si>
  <si>
    <t>Biowaste component</t>
  </si>
  <si>
    <t>Emission factors for waste collection and transport (t CO2(eq)/t recycled material)</t>
  </si>
  <si>
    <t>Energy consumption factors(MJ/t material recycled)</t>
  </si>
  <si>
    <t>Table 11: DOC contents (SCW)</t>
  </si>
  <si>
    <t>Table 5.1: Composting Parameters (SCW)</t>
  </si>
  <si>
    <t>Table 5: Composting Parameters (MSW)</t>
  </si>
  <si>
    <t>Table 6: Anaerobic Digestion Parameters (MSW)</t>
  </si>
  <si>
    <t>Table 6.1: Anaerobic Digestion Parameters (SCW)</t>
  </si>
  <si>
    <t xml:space="preserve">Boreal and Temperate (MAT ≤ 20°C) </t>
  </si>
  <si>
    <t>Energy recovery efficiency (%)</t>
  </si>
  <si>
    <t>Fraction of methane flared</t>
  </si>
  <si>
    <t>Mass conversion efficiency</t>
  </si>
  <si>
    <t>H2 %</t>
  </si>
  <si>
    <t>CO %</t>
  </si>
  <si>
    <t>CO2 %</t>
  </si>
  <si>
    <t>CH4 %</t>
  </si>
  <si>
    <t>Syngas from Municipal solid waste</t>
  </si>
  <si>
    <t>Syngas from Animal waste</t>
  </si>
  <si>
    <t>Syngas from Ground nut shell</t>
  </si>
  <si>
    <t>N2 %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</si>
</sst>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8" tint="0.39997558519241921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8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1" fillId="0" borderId="8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/>
    </xf>
    <xf numFmtId="0" fontId="0" fillId="0" borderId="9" xfId="0" applyBorder="1"/>
    <xf numFmtId="49" fontId="0" fillId="0" borderId="7" xfId="0" applyNumberFormat="1" applyBorder="1" applyAlignment="1">
      <alignment horizontal="right" vertical="center"/>
    </xf>
    <xf numFmtId="0" fontId="0" fillId="0" borderId="7" xfId="0" applyBorder="1" applyAlignment="1">
      <alignment horizontal="center" vertical="center"/>
    </xf>
    <xf numFmtId="0" fontId="0" fillId="0" borderId="10" xfId="0" applyBorder="1"/>
    <xf numFmtId="0" fontId="0" fillId="0" borderId="11" xfId="0" applyBorder="1"/>
    <xf numFmtId="0" fontId="0" fillId="0" borderId="11" xfId="0" applyBorder="1" applyAlignment="1">
      <alignment horizontal="center" vertical="center"/>
    </xf>
    <xf numFmtId="0" fontId="1" fillId="0" borderId="14" xfId="0" applyFont="1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vertical="center"/>
    </xf>
    <xf numFmtId="0" fontId="0" fillId="0" borderId="14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0" fillId="0" borderId="11" xfId="0" applyBorder="1" applyAlignment="1">
      <alignment vertical="center"/>
    </xf>
    <xf numFmtId="0" fontId="0" fillId="0" borderId="12" xfId="0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0" fillId="0" borderId="10" xfId="0" applyBorder="1" applyAlignment="1">
      <alignment vertical="center" wrapText="1"/>
    </xf>
    <xf numFmtId="2" fontId="0" fillId="0" borderId="1" xfId="0" applyNumberFormat="1" applyBorder="1" applyAlignment="1">
      <alignment horizontal="right" vertical="center"/>
    </xf>
    <xf numFmtId="0" fontId="0" fillId="0" borderId="21" xfId="0" applyBorder="1"/>
    <xf numFmtId="0" fontId="0" fillId="0" borderId="21" xfId="0" applyBorder="1" applyAlignment="1">
      <alignment horizontal="center" vertical="center"/>
    </xf>
    <xf numFmtId="0" fontId="0" fillId="0" borderId="22" xfId="0" applyBorder="1"/>
    <xf numFmtId="2" fontId="0" fillId="0" borderId="0" xfId="0" applyNumberFormat="1"/>
    <xf numFmtId="2" fontId="0" fillId="0" borderId="11" xfId="0" applyNumberFormat="1" applyBorder="1" applyAlignment="1">
      <alignment horizontal="right" vertical="center"/>
    </xf>
    <xf numFmtId="2" fontId="0" fillId="0" borderId="7" xfId="0" applyNumberFormat="1" applyBorder="1" applyAlignment="1">
      <alignment horizontal="right" vertical="center"/>
    </xf>
    <xf numFmtId="2" fontId="0" fillId="0" borderId="12" xfId="0" applyNumberFormat="1" applyBorder="1" applyAlignment="1">
      <alignment horizontal="right" vertical="center"/>
    </xf>
    <xf numFmtId="1" fontId="0" fillId="0" borderId="1" xfId="0" applyNumberFormat="1" applyBorder="1" applyAlignment="1">
      <alignment horizontal="right"/>
    </xf>
    <xf numFmtId="1" fontId="0" fillId="0" borderId="7" xfId="0" applyNumberFormat="1" applyBorder="1" applyAlignment="1">
      <alignment horizontal="right"/>
    </xf>
    <xf numFmtId="1" fontId="0" fillId="0" borderId="11" xfId="0" applyNumberFormat="1" applyBorder="1" applyAlignment="1">
      <alignment horizontal="right"/>
    </xf>
    <xf numFmtId="1" fontId="0" fillId="0" borderId="12" xfId="0" applyNumberFormat="1" applyBorder="1" applyAlignment="1">
      <alignment horizontal="right"/>
    </xf>
    <xf numFmtId="2" fontId="0" fillId="0" borderId="7" xfId="0" applyNumberFormat="1" applyBorder="1" applyAlignment="1">
      <alignment vertical="center" wrapText="1"/>
    </xf>
    <xf numFmtId="2" fontId="0" fillId="0" borderId="12" xfId="0" applyNumberFormat="1" applyBorder="1" applyAlignment="1">
      <alignment vertical="center" wrapText="1"/>
    </xf>
    <xf numFmtId="2" fontId="0" fillId="0" borderId="7" xfId="0" applyNumberFormat="1" applyBorder="1"/>
    <xf numFmtId="2" fontId="0" fillId="0" borderId="12" xfId="0" applyNumberFormat="1" applyBorder="1"/>
    <xf numFmtId="1" fontId="0" fillId="0" borderId="1" xfId="0" applyNumberFormat="1" applyBorder="1"/>
    <xf numFmtId="1" fontId="0" fillId="0" borderId="11" xfId="0" applyNumberFormat="1" applyBorder="1"/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0" fillId="0" borderId="12" xfId="0" applyBorder="1"/>
    <xf numFmtId="0" fontId="0" fillId="0" borderId="8" xfId="0" applyBorder="1" applyAlignment="1">
      <alignment vertical="center" wrapText="1"/>
    </xf>
    <xf numFmtId="0" fontId="0" fillId="0" borderId="14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right"/>
    </xf>
    <xf numFmtId="49" fontId="0" fillId="0" borderId="1" xfId="0" applyNumberFormat="1" applyBorder="1" applyAlignment="1">
      <alignment horizontal="right" vertical="center"/>
    </xf>
    <xf numFmtId="2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right" vertical="center"/>
    </xf>
    <xf numFmtId="0" fontId="1" fillId="0" borderId="1" xfId="0" applyFont="1" applyBorder="1" applyAlignment="1">
      <alignment horizontal="right"/>
    </xf>
    <xf numFmtId="0" fontId="1" fillId="2" borderId="1" xfId="0" applyFont="1" applyFill="1" applyBorder="1" applyAlignment="1">
      <alignment horizontal="center"/>
    </xf>
    <xf numFmtId="0" fontId="1" fillId="0" borderId="24" xfId="0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1" fillId="0" borderId="18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2" borderId="15" xfId="0" applyFont="1" applyFill="1" applyBorder="1" applyAlignment="1">
      <alignment horizontal="center"/>
    </xf>
    <xf numFmtId="0" fontId="1" fillId="2" borderId="16" xfId="0" applyFont="1" applyFill="1" applyBorder="1" applyAlignment="1">
      <alignment horizontal="center"/>
    </xf>
    <xf numFmtId="0" fontId="1" fillId="2" borderId="23" xfId="0" applyFont="1" applyFill="1" applyBorder="1" applyAlignment="1">
      <alignment horizontal="center"/>
    </xf>
    <xf numFmtId="0" fontId="1" fillId="2" borderId="17" xfId="0" applyFont="1" applyFill="1" applyBorder="1" applyAlignment="1">
      <alignment horizontal="center"/>
    </xf>
    <xf numFmtId="0" fontId="3" fillId="3" borderId="15" xfId="0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horizontal="center" vertical="center"/>
    </xf>
    <xf numFmtId="0" fontId="1" fillId="0" borderId="9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2" borderId="15" xfId="0" applyFont="1" applyFill="1" applyBorder="1" applyAlignment="1">
      <alignment horizontal="center" vertical="center" wrapText="1"/>
    </xf>
    <xf numFmtId="0" fontId="1" fillId="2" borderId="16" xfId="0" applyFont="1" applyFill="1" applyBorder="1" applyAlignment="1">
      <alignment horizontal="center" vertical="center" wrapText="1"/>
    </xf>
    <xf numFmtId="0" fontId="1" fillId="2" borderId="17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1" fontId="1" fillId="3" borderId="15" xfId="0" applyNumberFormat="1" applyFont="1" applyFill="1" applyBorder="1" applyAlignment="1">
      <alignment horizontal="center"/>
    </xf>
    <xf numFmtId="1" fontId="1" fillId="3" borderId="16" xfId="0" applyNumberFormat="1" applyFont="1" applyFill="1" applyBorder="1" applyAlignment="1">
      <alignment horizontal="center"/>
    </xf>
    <xf numFmtId="1" fontId="1" fillId="3" borderId="17" xfId="0" applyNumberFormat="1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24E25-EF29-4891-95C0-D378A933F9B2}">
  <dimension ref="A1:N109"/>
  <sheetViews>
    <sheetView tabSelected="1" topLeftCell="A52" zoomScale="87" zoomScaleNormal="87" workbookViewId="0">
      <selection activeCell="F99" sqref="F99:H99"/>
    </sheetView>
  </sheetViews>
  <sheetFormatPr defaultRowHeight="15" x14ac:dyDescent="0.25"/>
  <cols>
    <col min="1" max="1" width="32.28515625" customWidth="1"/>
    <col min="2" max="2" width="27.28515625" customWidth="1"/>
    <col min="3" max="3" width="23.5703125" customWidth="1"/>
    <col min="4" max="4" width="21.85546875" customWidth="1"/>
    <col min="5" max="5" width="22" customWidth="1"/>
    <col min="6" max="6" width="16.85546875" bestFit="1" customWidth="1"/>
    <col min="7" max="7" width="19.140625" customWidth="1"/>
    <col min="8" max="10" width="13.85546875" customWidth="1"/>
    <col min="11" max="11" width="16.5703125" customWidth="1"/>
    <col min="12" max="13" width="15.5703125" customWidth="1"/>
    <col min="14" max="14" width="12.5703125" customWidth="1"/>
  </cols>
  <sheetData>
    <row r="1" spans="1:14" ht="15.75" thickBot="1" x14ac:dyDescent="0.3">
      <c r="A1" s="62" t="s">
        <v>0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4"/>
      <c r="N1" s="65"/>
    </row>
    <row r="2" spans="1:14" ht="46.5" customHeight="1" x14ac:dyDescent="0.25">
      <c r="A2" s="69" t="s">
        <v>1</v>
      </c>
      <c r="B2" s="4" t="s">
        <v>2</v>
      </c>
      <c r="C2" s="70" t="s">
        <v>3</v>
      </c>
      <c r="D2" s="70"/>
      <c r="E2" s="70"/>
      <c r="F2" s="70" t="s">
        <v>4</v>
      </c>
      <c r="G2" s="70"/>
      <c r="H2" s="70"/>
      <c r="I2" s="70" t="s">
        <v>5</v>
      </c>
      <c r="J2" s="70"/>
      <c r="K2" s="70"/>
      <c r="L2" s="70" t="s">
        <v>6</v>
      </c>
      <c r="M2" s="72"/>
      <c r="N2" s="73"/>
    </row>
    <row r="3" spans="1:14" x14ac:dyDescent="0.25">
      <c r="A3" s="61"/>
      <c r="B3" s="3" t="s">
        <v>17</v>
      </c>
      <c r="C3" s="3" t="s">
        <v>17</v>
      </c>
      <c r="D3" s="3" t="s">
        <v>58</v>
      </c>
      <c r="E3" s="3" t="s">
        <v>59</v>
      </c>
      <c r="F3" s="3" t="s">
        <v>17</v>
      </c>
      <c r="G3" s="3" t="s">
        <v>58</v>
      </c>
      <c r="H3" s="3" t="s">
        <v>59</v>
      </c>
      <c r="I3" s="3" t="s">
        <v>17</v>
      </c>
      <c r="J3" s="3" t="s">
        <v>58</v>
      </c>
      <c r="K3" s="3" t="s">
        <v>59</v>
      </c>
      <c r="L3" s="3" t="s">
        <v>17</v>
      </c>
      <c r="M3" s="3" t="s">
        <v>58</v>
      </c>
      <c r="N3" s="8" t="s">
        <v>59</v>
      </c>
    </row>
    <row r="4" spans="1:14" x14ac:dyDescent="0.25">
      <c r="A4" s="9" t="s">
        <v>7</v>
      </c>
      <c r="B4" s="41">
        <v>90</v>
      </c>
      <c r="C4" s="1">
        <v>40</v>
      </c>
      <c r="D4" s="1">
        <v>36</v>
      </c>
      <c r="E4" s="25" t="s">
        <v>60</v>
      </c>
      <c r="F4" s="1">
        <v>44</v>
      </c>
      <c r="G4" s="1">
        <v>40</v>
      </c>
      <c r="H4" s="25" t="s">
        <v>65</v>
      </c>
      <c r="I4" s="1">
        <v>46</v>
      </c>
      <c r="J4" s="1">
        <v>42</v>
      </c>
      <c r="K4" s="25" t="s">
        <v>65</v>
      </c>
      <c r="L4" s="1">
        <v>1</v>
      </c>
      <c r="M4" s="26">
        <v>0</v>
      </c>
      <c r="N4" s="31" t="s">
        <v>70</v>
      </c>
    </row>
    <row r="5" spans="1:14" x14ac:dyDescent="0.25">
      <c r="A5" s="9" t="s">
        <v>8</v>
      </c>
      <c r="B5" s="41">
        <v>80</v>
      </c>
      <c r="C5" s="1">
        <v>24</v>
      </c>
      <c r="D5" s="1">
        <v>20</v>
      </c>
      <c r="E5" s="25" t="s">
        <v>61</v>
      </c>
      <c r="F5" s="1">
        <v>30</v>
      </c>
      <c r="G5" s="1">
        <v>25</v>
      </c>
      <c r="H5" s="25" t="s">
        <v>65</v>
      </c>
      <c r="I5" s="1">
        <v>50</v>
      </c>
      <c r="J5" s="1">
        <v>25</v>
      </c>
      <c r="K5" s="25" t="s">
        <v>65</v>
      </c>
      <c r="L5" s="1">
        <v>20</v>
      </c>
      <c r="M5" s="26">
        <v>0</v>
      </c>
      <c r="N5" s="31" t="s">
        <v>65</v>
      </c>
    </row>
    <row r="6" spans="1:14" x14ac:dyDescent="0.25">
      <c r="A6" s="9" t="s">
        <v>9</v>
      </c>
      <c r="B6" s="41">
        <v>40</v>
      </c>
      <c r="C6" s="1">
        <v>15</v>
      </c>
      <c r="D6" s="1">
        <v>8</v>
      </c>
      <c r="E6" s="25" t="s">
        <v>23</v>
      </c>
      <c r="F6" s="1">
        <v>38</v>
      </c>
      <c r="G6" s="1">
        <v>20</v>
      </c>
      <c r="H6" s="25" t="s">
        <v>65</v>
      </c>
      <c r="I6" s="1">
        <v>38</v>
      </c>
      <c r="J6" s="1">
        <v>20</v>
      </c>
      <c r="K6" s="25" t="s">
        <v>65</v>
      </c>
      <c r="L6" s="2" t="s">
        <v>18</v>
      </c>
      <c r="M6" s="27" t="s">
        <v>18</v>
      </c>
      <c r="N6" s="10" t="s">
        <v>18</v>
      </c>
    </row>
    <row r="7" spans="1:14" x14ac:dyDescent="0.25">
      <c r="A7" s="9" t="s">
        <v>10</v>
      </c>
      <c r="B7" s="41">
        <v>85</v>
      </c>
      <c r="C7" s="1">
        <v>43</v>
      </c>
      <c r="D7" s="1">
        <v>39</v>
      </c>
      <c r="E7" s="25" t="s">
        <v>62</v>
      </c>
      <c r="F7" s="1">
        <v>50</v>
      </c>
      <c r="G7" s="1">
        <v>46</v>
      </c>
      <c r="H7" s="25" t="s">
        <v>66</v>
      </c>
      <c r="I7" s="1">
        <v>50</v>
      </c>
      <c r="J7" s="1">
        <v>46</v>
      </c>
      <c r="K7" s="25" t="s">
        <v>66</v>
      </c>
      <c r="L7" s="2" t="s">
        <v>18</v>
      </c>
      <c r="M7" s="27" t="s">
        <v>18</v>
      </c>
      <c r="N7" s="10" t="s">
        <v>18</v>
      </c>
    </row>
    <row r="8" spans="1:14" x14ac:dyDescent="0.25">
      <c r="A8" s="9" t="s">
        <v>11</v>
      </c>
      <c r="B8" s="41">
        <v>40</v>
      </c>
      <c r="C8" s="1">
        <v>20</v>
      </c>
      <c r="D8" s="1">
        <v>18</v>
      </c>
      <c r="E8" s="25" t="s">
        <v>63</v>
      </c>
      <c r="F8" s="1">
        <v>49</v>
      </c>
      <c r="G8" s="1">
        <v>45</v>
      </c>
      <c r="H8" s="25" t="s">
        <v>67</v>
      </c>
      <c r="I8" s="1">
        <v>49</v>
      </c>
      <c r="J8" s="1">
        <v>45</v>
      </c>
      <c r="K8" s="25" t="s">
        <v>67</v>
      </c>
      <c r="L8" s="1">
        <v>0</v>
      </c>
      <c r="M8" s="26">
        <v>0</v>
      </c>
      <c r="N8" s="31" t="s">
        <v>21</v>
      </c>
    </row>
    <row r="9" spans="1:14" x14ac:dyDescent="0.25">
      <c r="A9" s="9" t="s">
        <v>12</v>
      </c>
      <c r="B9" s="41">
        <v>84</v>
      </c>
      <c r="C9" s="1">
        <v>39</v>
      </c>
      <c r="D9" s="1">
        <v>39</v>
      </c>
      <c r="E9" s="25" t="s">
        <v>64</v>
      </c>
      <c r="F9" s="1">
        <v>47</v>
      </c>
      <c r="G9" s="1">
        <v>47</v>
      </c>
      <c r="H9" s="25" t="s">
        <v>68</v>
      </c>
      <c r="I9" s="1">
        <v>67</v>
      </c>
      <c r="J9" s="1">
        <v>67</v>
      </c>
      <c r="K9" s="25" t="s">
        <v>20</v>
      </c>
      <c r="L9" s="1">
        <v>20</v>
      </c>
      <c r="M9" s="26">
        <v>20</v>
      </c>
      <c r="N9" s="31" t="s">
        <v>23</v>
      </c>
    </row>
    <row r="10" spans="1:14" x14ac:dyDescent="0.25">
      <c r="A10" s="9" t="s">
        <v>13</v>
      </c>
      <c r="B10" s="41">
        <v>100</v>
      </c>
      <c r="C10" s="2" t="s">
        <v>18</v>
      </c>
      <c r="D10" s="2" t="s">
        <v>18</v>
      </c>
      <c r="E10" s="2" t="s">
        <v>18</v>
      </c>
      <c r="F10" s="2" t="s">
        <v>18</v>
      </c>
      <c r="G10" s="2" t="s">
        <v>18</v>
      </c>
      <c r="H10" s="2" t="s">
        <v>18</v>
      </c>
      <c r="I10" s="1">
        <v>75</v>
      </c>
      <c r="J10" s="1">
        <v>67</v>
      </c>
      <c r="K10" s="25" t="s">
        <v>69</v>
      </c>
      <c r="L10" s="1">
        <v>100</v>
      </c>
      <c r="M10" s="26">
        <v>95</v>
      </c>
      <c r="N10" s="31" t="s">
        <v>71</v>
      </c>
    </row>
    <row r="11" spans="1:14" x14ac:dyDescent="0.25">
      <c r="A11" s="9" t="s">
        <v>14</v>
      </c>
      <c r="B11" s="41">
        <v>100</v>
      </c>
      <c r="C11" s="2" t="s">
        <v>18</v>
      </c>
      <c r="D11" s="2" t="s">
        <v>18</v>
      </c>
      <c r="E11" s="2" t="s">
        <v>18</v>
      </c>
      <c r="F11" s="2" t="s">
        <v>18</v>
      </c>
      <c r="G11" s="2" t="s">
        <v>18</v>
      </c>
      <c r="H11" s="2" t="s">
        <v>18</v>
      </c>
      <c r="I11" s="2" t="s">
        <v>19</v>
      </c>
      <c r="J11" s="2" t="s">
        <v>19</v>
      </c>
      <c r="K11" s="2" t="s">
        <v>19</v>
      </c>
      <c r="L11" s="2" t="s">
        <v>19</v>
      </c>
      <c r="M11" s="27" t="s">
        <v>19</v>
      </c>
      <c r="N11" s="11" t="s">
        <v>19</v>
      </c>
    </row>
    <row r="12" spans="1:14" x14ac:dyDescent="0.25">
      <c r="A12" s="9" t="s">
        <v>15</v>
      </c>
      <c r="B12" s="41">
        <v>100</v>
      </c>
      <c r="C12" s="2" t="s">
        <v>18</v>
      </c>
      <c r="D12" s="2" t="s">
        <v>18</v>
      </c>
      <c r="E12" s="2" t="s">
        <v>18</v>
      </c>
      <c r="F12" s="2" t="s">
        <v>18</v>
      </c>
      <c r="G12" s="2" t="s">
        <v>18</v>
      </c>
      <c r="H12" s="2" t="s">
        <v>18</v>
      </c>
      <c r="I12" s="2" t="s">
        <v>19</v>
      </c>
      <c r="J12" s="2" t="s">
        <v>19</v>
      </c>
      <c r="K12" s="2" t="s">
        <v>19</v>
      </c>
      <c r="L12" s="2" t="s">
        <v>19</v>
      </c>
      <c r="M12" s="27" t="s">
        <v>19</v>
      </c>
      <c r="N12" s="11" t="s">
        <v>19</v>
      </c>
    </row>
    <row r="13" spans="1:14" ht="15.75" thickBot="1" x14ac:dyDescent="0.3">
      <c r="A13" s="12" t="s">
        <v>16</v>
      </c>
      <c r="B13" s="42">
        <v>90</v>
      </c>
      <c r="C13" s="14" t="s">
        <v>18</v>
      </c>
      <c r="D13" s="14" t="s">
        <v>18</v>
      </c>
      <c r="E13" s="14" t="s">
        <v>18</v>
      </c>
      <c r="F13" s="14" t="s">
        <v>18</v>
      </c>
      <c r="G13" s="14" t="s">
        <v>18</v>
      </c>
      <c r="H13" s="14" t="s">
        <v>18</v>
      </c>
      <c r="I13" s="13">
        <v>3</v>
      </c>
      <c r="J13" s="13">
        <v>0</v>
      </c>
      <c r="K13" s="30" t="s">
        <v>70</v>
      </c>
      <c r="L13" s="13">
        <v>100</v>
      </c>
      <c r="M13" s="28">
        <v>50</v>
      </c>
      <c r="N13" s="32" t="s">
        <v>71</v>
      </c>
    </row>
    <row r="14" spans="1:14" ht="15.75" thickBot="1" x14ac:dyDescent="0.3">
      <c r="N14" s="29"/>
    </row>
    <row r="15" spans="1:14" ht="36" customHeight="1" thickBot="1" x14ac:dyDescent="0.3">
      <c r="A15" s="66" t="s">
        <v>26</v>
      </c>
      <c r="B15" s="67"/>
      <c r="D15" s="77" t="s">
        <v>27</v>
      </c>
      <c r="E15" s="78"/>
      <c r="G15" s="74" t="s">
        <v>109</v>
      </c>
      <c r="H15" s="76"/>
    </row>
    <row r="16" spans="1:14" ht="30" x14ac:dyDescent="0.25">
      <c r="A16" s="7" t="s">
        <v>24</v>
      </c>
      <c r="B16" s="15" t="s">
        <v>25</v>
      </c>
      <c r="D16" s="7" t="s">
        <v>24</v>
      </c>
      <c r="E16" s="15" t="s">
        <v>90</v>
      </c>
      <c r="G16" s="46" t="s">
        <v>107</v>
      </c>
      <c r="H16" s="47">
        <v>25</v>
      </c>
    </row>
    <row r="17" spans="1:14" ht="45.75" thickBot="1" x14ac:dyDescent="0.3">
      <c r="A17" s="23" t="s">
        <v>86</v>
      </c>
      <c r="B17" s="37">
        <v>1</v>
      </c>
      <c r="D17" s="23" t="s">
        <v>28</v>
      </c>
      <c r="E17" s="39">
        <v>0</v>
      </c>
      <c r="G17" s="24" t="s">
        <v>108</v>
      </c>
      <c r="H17" s="45">
        <v>298</v>
      </c>
    </row>
    <row r="18" spans="1:14" ht="45.75" thickBot="1" x14ac:dyDescent="0.3">
      <c r="A18" s="23" t="s">
        <v>87</v>
      </c>
      <c r="B18" s="37">
        <v>0.5</v>
      </c>
      <c r="D18" s="24" t="s">
        <v>29</v>
      </c>
      <c r="E18" s="40">
        <v>0.1</v>
      </c>
    </row>
    <row r="19" spans="1:14" ht="30" x14ac:dyDescent="0.25">
      <c r="A19" s="23" t="s">
        <v>88</v>
      </c>
      <c r="B19" s="37">
        <v>0.8</v>
      </c>
    </row>
    <row r="20" spans="1:14" ht="30.75" thickBot="1" x14ac:dyDescent="0.3">
      <c r="A20" s="24" t="s">
        <v>89</v>
      </c>
      <c r="B20" s="38">
        <v>0.4</v>
      </c>
    </row>
    <row r="21" spans="1:14" ht="15.75" thickBot="1" x14ac:dyDescent="0.3"/>
    <row r="22" spans="1:14" ht="30" customHeight="1" thickBot="1" x14ac:dyDescent="0.3">
      <c r="A22" s="74" t="s">
        <v>85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6"/>
    </row>
    <row r="23" spans="1:14" ht="30" customHeight="1" x14ac:dyDescent="0.25">
      <c r="A23" s="61" t="s">
        <v>30</v>
      </c>
      <c r="B23" s="70" t="s">
        <v>132</v>
      </c>
      <c r="C23" s="70"/>
      <c r="D23" s="70"/>
      <c r="E23" s="70"/>
      <c r="F23" s="70"/>
      <c r="G23" s="70"/>
      <c r="H23" s="85" t="s">
        <v>31</v>
      </c>
      <c r="I23" s="85"/>
      <c r="J23" s="85"/>
      <c r="K23" s="85"/>
      <c r="L23" s="85"/>
      <c r="M23" s="86"/>
    </row>
    <row r="24" spans="1:14" x14ac:dyDescent="0.25">
      <c r="A24" s="68"/>
      <c r="B24" s="71" t="s">
        <v>32</v>
      </c>
      <c r="C24" s="71"/>
      <c r="D24" s="71"/>
      <c r="E24" s="71" t="s">
        <v>33</v>
      </c>
      <c r="F24" s="71"/>
      <c r="G24" s="71"/>
      <c r="H24" s="71" t="s">
        <v>34</v>
      </c>
      <c r="I24" s="71"/>
      <c r="J24" s="71"/>
      <c r="K24" s="71" t="s">
        <v>35</v>
      </c>
      <c r="L24" s="71"/>
      <c r="M24" s="84"/>
    </row>
    <row r="25" spans="1:14" x14ac:dyDescent="0.25">
      <c r="A25" s="68"/>
      <c r="B25" s="3" t="s">
        <v>17</v>
      </c>
      <c r="C25" s="3" t="s">
        <v>58</v>
      </c>
      <c r="D25" s="3" t="s">
        <v>59</v>
      </c>
      <c r="E25" s="3" t="s">
        <v>17</v>
      </c>
      <c r="F25" s="3" t="s">
        <v>58</v>
      </c>
      <c r="G25" s="3" t="s">
        <v>59</v>
      </c>
      <c r="H25" s="3" t="s">
        <v>17</v>
      </c>
      <c r="I25" s="3" t="s">
        <v>58</v>
      </c>
      <c r="J25" s="3" t="s">
        <v>59</v>
      </c>
      <c r="K25" s="3" t="s">
        <v>17</v>
      </c>
      <c r="L25" s="3" t="s">
        <v>58</v>
      </c>
      <c r="M25" s="8" t="s">
        <v>59</v>
      </c>
    </row>
    <row r="26" spans="1:14" x14ac:dyDescent="0.25">
      <c r="A26" s="9" t="s">
        <v>36</v>
      </c>
      <c r="B26" s="33">
        <v>17</v>
      </c>
      <c r="C26" s="33" t="s">
        <v>75</v>
      </c>
      <c r="D26" s="33" t="s">
        <v>72</v>
      </c>
      <c r="E26" s="33">
        <v>12</v>
      </c>
      <c r="F26" s="33" t="s">
        <v>22</v>
      </c>
      <c r="G26" s="33" t="s">
        <v>75</v>
      </c>
      <c r="H26" s="33">
        <v>15</v>
      </c>
      <c r="I26" s="33" t="s">
        <v>76</v>
      </c>
      <c r="J26" s="33" t="s">
        <v>74</v>
      </c>
      <c r="K26" s="33">
        <v>10</v>
      </c>
      <c r="L26" s="33" t="s">
        <v>83</v>
      </c>
      <c r="M26" s="34" t="s">
        <v>76</v>
      </c>
    </row>
    <row r="27" spans="1:14" x14ac:dyDescent="0.25">
      <c r="A27" s="9" t="s">
        <v>37</v>
      </c>
      <c r="B27" s="33">
        <v>35</v>
      </c>
      <c r="C27" s="33" t="s">
        <v>72</v>
      </c>
      <c r="D27" s="33" t="s">
        <v>73</v>
      </c>
      <c r="E27" s="33">
        <v>23</v>
      </c>
      <c r="F27" s="33" t="s">
        <v>74</v>
      </c>
      <c r="G27" s="33" t="s">
        <v>78</v>
      </c>
      <c r="H27" s="33">
        <v>28</v>
      </c>
      <c r="I27" s="33" t="s">
        <v>74</v>
      </c>
      <c r="J27" s="33" t="s">
        <v>78</v>
      </c>
      <c r="K27" s="33">
        <v>20</v>
      </c>
      <c r="L27" s="33" t="s">
        <v>75</v>
      </c>
      <c r="M27" s="34" t="s">
        <v>81</v>
      </c>
    </row>
    <row r="28" spans="1:14" x14ac:dyDescent="0.25">
      <c r="A28" s="9" t="s">
        <v>38</v>
      </c>
      <c r="B28" s="33">
        <v>14</v>
      </c>
      <c r="C28" s="33" t="s">
        <v>76</v>
      </c>
      <c r="D28" s="33" t="s">
        <v>74</v>
      </c>
      <c r="E28" s="33">
        <v>7</v>
      </c>
      <c r="F28" s="33" t="s">
        <v>79</v>
      </c>
      <c r="G28" s="33" t="s">
        <v>77</v>
      </c>
      <c r="H28" s="33">
        <v>11</v>
      </c>
      <c r="I28" s="33" t="s">
        <v>77</v>
      </c>
      <c r="J28" s="33" t="s">
        <v>75</v>
      </c>
      <c r="K28" s="33">
        <v>4</v>
      </c>
      <c r="L28" s="33" t="s">
        <v>80</v>
      </c>
      <c r="M28" s="34" t="s">
        <v>70</v>
      </c>
    </row>
    <row r="29" spans="1:14" x14ac:dyDescent="0.25">
      <c r="A29" s="9" t="s">
        <v>39</v>
      </c>
      <c r="B29" s="33">
        <v>12</v>
      </c>
      <c r="C29" s="33" t="s">
        <v>77</v>
      </c>
      <c r="D29" s="33" t="s">
        <v>75</v>
      </c>
      <c r="E29" s="33">
        <v>4</v>
      </c>
      <c r="F29" s="33" t="s">
        <v>80</v>
      </c>
      <c r="G29" s="33" t="s">
        <v>79</v>
      </c>
      <c r="H29" s="33">
        <v>8</v>
      </c>
      <c r="I29" s="33" t="s">
        <v>79</v>
      </c>
      <c r="J29" s="33" t="s">
        <v>22</v>
      </c>
      <c r="K29" s="33">
        <v>2</v>
      </c>
      <c r="L29" s="33" t="s">
        <v>84</v>
      </c>
      <c r="M29" s="34" t="s">
        <v>82</v>
      </c>
    </row>
    <row r="30" spans="1:14" ht="15.75" thickBot="1" x14ac:dyDescent="0.3">
      <c r="A30" s="12" t="s">
        <v>40</v>
      </c>
      <c r="B30" s="35">
        <v>14</v>
      </c>
      <c r="C30" s="35" t="s">
        <v>76</v>
      </c>
      <c r="D30" s="35" t="s">
        <v>74</v>
      </c>
      <c r="E30" s="35">
        <v>7</v>
      </c>
      <c r="F30" s="35" t="s">
        <v>79</v>
      </c>
      <c r="G30" s="35" t="s">
        <v>77</v>
      </c>
      <c r="H30" s="35">
        <v>11</v>
      </c>
      <c r="I30" s="35" t="s">
        <v>77</v>
      </c>
      <c r="J30" s="35" t="s">
        <v>75</v>
      </c>
      <c r="K30" s="35">
        <v>4</v>
      </c>
      <c r="L30" s="35" t="s">
        <v>80</v>
      </c>
      <c r="M30" s="36" t="s">
        <v>70</v>
      </c>
    </row>
    <row r="31" spans="1:14" ht="15.75" thickBot="1" x14ac:dyDescent="0.3"/>
    <row r="32" spans="1:14" ht="15.75" thickBot="1" x14ac:dyDescent="0.3">
      <c r="A32" s="87" t="s">
        <v>53</v>
      </c>
      <c r="B32" s="88"/>
      <c r="C32" s="88"/>
      <c r="D32" s="89"/>
      <c r="F32" s="90" t="s">
        <v>115</v>
      </c>
      <c r="G32" s="91"/>
      <c r="H32" s="91"/>
      <c r="I32" s="92"/>
      <c r="K32" s="90" t="s">
        <v>116</v>
      </c>
      <c r="L32" s="91"/>
      <c r="M32" s="91"/>
      <c r="N32" s="92"/>
    </row>
    <row r="33" spans="1:14" ht="51" customHeight="1" x14ac:dyDescent="0.25">
      <c r="A33" s="79" t="s">
        <v>41</v>
      </c>
      <c r="B33" s="16" t="s">
        <v>42</v>
      </c>
      <c r="C33" s="17">
        <v>0.01</v>
      </c>
      <c r="D33" s="18" t="s">
        <v>43</v>
      </c>
      <c r="F33" s="61" t="s">
        <v>110</v>
      </c>
      <c r="G33" s="70"/>
      <c r="H33" s="70" t="s">
        <v>111</v>
      </c>
      <c r="I33" s="73"/>
      <c r="K33" s="61" t="s">
        <v>110</v>
      </c>
      <c r="L33" s="70"/>
      <c r="M33" s="70" t="s">
        <v>117</v>
      </c>
      <c r="N33" s="73"/>
    </row>
    <row r="34" spans="1:14" ht="30" x14ac:dyDescent="0.25">
      <c r="A34" s="80"/>
      <c r="B34" s="5" t="s">
        <v>44</v>
      </c>
      <c r="C34" s="6">
        <v>1.4999999999999999E-2</v>
      </c>
      <c r="D34" s="19" t="s">
        <v>43</v>
      </c>
      <c r="F34" s="93" t="s">
        <v>112</v>
      </c>
      <c r="G34" s="59"/>
      <c r="H34" s="59">
        <v>0.2</v>
      </c>
      <c r="I34" s="96"/>
      <c r="K34" s="93" t="s">
        <v>112</v>
      </c>
      <c r="L34" s="59"/>
      <c r="M34" s="59">
        <v>47</v>
      </c>
      <c r="N34" s="96"/>
    </row>
    <row r="35" spans="1:14" ht="45" x14ac:dyDescent="0.25">
      <c r="A35" s="80"/>
      <c r="B35" s="5" t="s">
        <v>45</v>
      </c>
      <c r="C35" s="6">
        <v>0.01</v>
      </c>
      <c r="D35" s="19" t="s">
        <v>43</v>
      </c>
      <c r="F35" s="93" t="s">
        <v>113</v>
      </c>
      <c r="G35" s="59"/>
      <c r="H35" s="59">
        <v>6</v>
      </c>
      <c r="I35" s="96"/>
      <c r="K35" s="93" t="s">
        <v>113</v>
      </c>
      <c r="L35" s="59"/>
      <c r="M35" s="59">
        <v>41</v>
      </c>
      <c r="N35" s="96"/>
    </row>
    <row r="36" spans="1:14" ht="30.75" thickBot="1" x14ac:dyDescent="0.3">
      <c r="A36" s="80"/>
      <c r="B36" s="5" t="s">
        <v>46</v>
      </c>
      <c r="C36" s="6">
        <v>0.01</v>
      </c>
      <c r="D36" s="19" t="s">
        <v>43</v>
      </c>
      <c r="F36" s="94" t="s">
        <v>114</v>
      </c>
      <c r="G36" s="95"/>
      <c r="H36" s="95">
        <v>60</v>
      </c>
      <c r="I36" s="97"/>
      <c r="K36" s="94" t="s">
        <v>114</v>
      </c>
      <c r="L36" s="95"/>
      <c r="M36" s="95">
        <v>56</v>
      </c>
      <c r="N36" s="97"/>
    </row>
    <row r="37" spans="1:14" ht="30" x14ac:dyDescent="0.25">
      <c r="A37" s="80"/>
      <c r="B37" s="5" t="s">
        <v>47</v>
      </c>
      <c r="C37" s="6">
        <v>8.0000000000000002E-3</v>
      </c>
      <c r="D37" s="19" t="s">
        <v>43</v>
      </c>
    </row>
    <row r="38" spans="1:14" ht="30" x14ac:dyDescent="0.25">
      <c r="A38" s="81"/>
      <c r="B38" s="5" t="s">
        <v>48</v>
      </c>
      <c r="C38" s="6">
        <v>8.0000000000000002E-3</v>
      </c>
      <c r="D38" s="19" t="s">
        <v>43</v>
      </c>
    </row>
    <row r="39" spans="1:14" ht="30" x14ac:dyDescent="0.25">
      <c r="A39" s="82" t="s">
        <v>49</v>
      </c>
      <c r="B39" s="5" t="s">
        <v>50</v>
      </c>
      <c r="C39" s="6">
        <v>8.9999999999999993E-3</v>
      </c>
      <c r="D39" s="19" t="s">
        <v>43</v>
      </c>
    </row>
    <row r="40" spans="1:14" ht="30" x14ac:dyDescent="0.25">
      <c r="A40" s="80"/>
      <c r="B40" s="5" t="s">
        <v>51</v>
      </c>
      <c r="C40" s="6">
        <v>8.0000000000000002E-3</v>
      </c>
      <c r="D40" s="19" t="s">
        <v>43</v>
      </c>
    </row>
    <row r="41" spans="1:14" ht="30.75" thickBot="1" x14ac:dyDescent="0.3">
      <c r="A41" s="83"/>
      <c r="B41" s="20" t="s">
        <v>52</v>
      </c>
      <c r="C41" s="21">
        <v>7.0000000000000001E-3</v>
      </c>
      <c r="D41" s="22" t="s">
        <v>43</v>
      </c>
    </row>
    <row r="43" spans="1:14" x14ac:dyDescent="0.25">
      <c r="A43" s="54" t="s">
        <v>129</v>
      </c>
      <c r="B43" s="54"/>
      <c r="D43" s="54" t="s">
        <v>128</v>
      </c>
      <c r="E43" s="54"/>
    </row>
    <row r="44" spans="1:14" ht="60" x14ac:dyDescent="0.25">
      <c r="A44" s="5" t="s">
        <v>54</v>
      </c>
      <c r="B44" s="6">
        <v>0.5</v>
      </c>
      <c r="D44" s="5" t="s">
        <v>54</v>
      </c>
      <c r="E44" s="6">
        <v>0.5</v>
      </c>
    </row>
    <row r="45" spans="1:14" ht="30" x14ac:dyDescent="0.25">
      <c r="A45" s="5" t="s">
        <v>55</v>
      </c>
      <c r="B45" s="6">
        <v>0.01</v>
      </c>
      <c r="D45" s="5" t="s">
        <v>55</v>
      </c>
      <c r="E45" s="6">
        <v>0.01</v>
      </c>
    </row>
    <row r="46" spans="1:14" x14ac:dyDescent="0.25">
      <c r="A46" s="5" t="s">
        <v>91</v>
      </c>
      <c r="B46" s="1">
        <f>44/12</f>
        <v>3.6666666666666665</v>
      </c>
      <c r="D46" s="5" t="s">
        <v>91</v>
      </c>
      <c r="E46" s="1">
        <f>44/12</f>
        <v>3.6666666666666665</v>
      </c>
    </row>
    <row r="47" spans="1:14" x14ac:dyDescent="0.25">
      <c r="A47" s="5" t="s">
        <v>56</v>
      </c>
      <c r="B47" s="6">
        <f>16/12</f>
        <v>1.3333333333333333</v>
      </c>
      <c r="D47" s="5" t="s">
        <v>56</v>
      </c>
      <c r="E47" s="6">
        <f>16/12</f>
        <v>1.3333333333333333</v>
      </c>
    </row>
    <row r="48" spans="1:14" x14ac:dyDescent="0.25">
      <c r="A48" s="1" t="s">
        <v>92</v>
      </c>
      <c r="B48" s="1">
        <v>0</v>
      </c>
      <c r="D48" s="1" t="s">
        <v>92</v>
      </c>
      <c r="E48" s="1">
        <v>0</v>
      </c>
    </row>
    <row r="49" spans="1:5" ht="30" x14ac:dyDescent="0.25">
      <c r="A49" s="5" t="s">
        <v>57</v>
      </c>
      <c r="B49" s="6">
        <v>0.5</v>
      </c>
      <c r="D49" s="5" t="s">
        <v>57</v>
      </c>
      <c r="E49" s="6">
        <v>0.5</v>
      </c>
    </row>
    <row r="51" spans="1:5" x14ac:dyDescent="0.25">
      <c r="A51" s="54" t="s">
        <v>130</v>
      </c>
      <c r="B51" s="54"/>
      <c r="D51" s="54" t="s">
        <v>131</v>
      </c>
      <c r="E51" s="54"/>
    </row>
    <row r="52" spans="1:5" ht="60" x14ac:dyDescent="0.25">
      <c r="A52" s="5" t="s">
        <v>54</v>
      </c>
      <c r="B52" s="6">
        <v>0.5</v>
      </c>
      <c r="D52" s="5" t="s">
        <v>54</v>
      </c>
      <c r="E52" s="6">
        <v>0.5</v>
      </c>
    </row>
    <row r="53" spans="1:5" ht="30" x14ac:dyDescent="0.25">
      <c r="A53" s="5" t="s">
        <v>55</v>
      </c>
      <c r="B53" s="6">
        <v>1</v>
      </c>
      <c r="D53" s="5" t="s">
        <v>55</v>
      </c>
      <c r="E53" s="6">
        <v>1</v>
      </c>
    </row>
    <row r="54" spans="1:5" x14ac:dyDescent="0.25">
      <c r="A54" s="5" t="s">
        <v>91</v>
      </c>
      <c r="B54" s="1">
        <f>44/12</f>
        <v>3.6666666666666665</v>
      </c>
      <c r="D54" s="5" t="s">
        <v>91</v>
      </c>
      <c r="E54" s="1">
        <f>44/12</f>
        <v>3.6666666666666665</v>
      </c>
    </row>
    <row r="55" spans="1:5" x14ac:dyDescent="0.25">
      <c r="A55" s="5" t="s">
        <v>56</v>
      </c>
      <c r="B55" s="6">
        <f>16/12</f>
        <v>1.3333333333333333</v>
      </c>
      <c r="D55" s="5" t="s">
        <v>56</v>
      </c>
      <c r="E55" s="6">
        <f>16/12</f>
        <v>1.3333333333333333</v>
      </c>
    </row>
    <row r="56" spans="1:5" x14ac:dyDescent="0.25">
      <c r="A56" s="1" t="s">
        <v>92</v>
      </c>
      <c r="B56" s="1">
        <v>0</v>
      </c>
      <c r="D56" s="1" t="s">
        <v>92</v>
      </c>
      <c r="E56" s="1">
        <v>0</v>
      </c>
    </row>
    <row r="57" spans="1:5" ht="30" x14ac:dyDescent="0.25">
      <c r="A57" s="5" t="s">
        <v>93</v>
      </c>
      <c r="B57" s="1">
        <v>1</v>
      </c>
      <c r="D57" s="5" t="s">
        <v>93</v>
      </c>
      <c r="E57" s="1">
        <v>0.9</v>
      </c>
    </row>
    <row r="58" spans="1:5" ht="30" x14ac:dyDescent="0.25">
      <c r="A58" s="5" t="s">
        <v>57</v>
      </c>
      <c r="B58" s="6">
        <v>0.5</v>
      </c>
      <c r="D58" s="5" t="s">
        <v>57</v>
      </c>
      <c r="E58" s="6">
        <v>0.5</v>
      </c>
    </row>
    <row r="60" spans="1:5" x14ac:dyDescent="0.25">
      <c r="A60" s="54" t="s">
        <v>96</v>
      </c>
      <c r="B60" s="54"/>
    </row>
    <row r="61" spans="1:5" x14ac:dyDescent="0.25">
      <c r="A61" s="1" t="s">
        <v>133</v>
      </c>
      <c r="B61" s="1">
        <v>21.2</v>
      </c>
    </row>
    <row r="62" spans="1:5" x14ac:dyDescent="0.25">
      <c r="A62" s="5" t="s">
        <v>91</v>
      </c>
      <c r="B62" s="1">
        <f>44/12</f>
        <v>3.6666666666666665</v>
      </c>
    </row>
    <row r="63" spans="1:5" x14ac:dyDescent="0.25">
      <c r="A63" s="1" t="s">
        <v>92</v>
      </c>
      <c r="B63" s="1">
        <v>1</v>
      </c>
    </row>
    <row r="64" spans="1:5" ht="30" x14ac:dyDescent="0.25">
      <c r="A64" s="5" t="s">
        <v>118</v>
      </c>
      <c r="B64" s="1">
        <v>60</v>
      </c>
    </row>
    <row r="65" spans="1:6" ht="30" x14ac:dyDescent="0.25">
      <c r="A65" s="5" t="s">
        <v>119</v>
      </c>
      <c r="B65" s="1">
        <v>56</v>
      </c>
    </row>
    <row r="67" spans="1:6" x14ac:dyDescent="0.25">
      <c r="A67" s="54" t="s">
        <v>94</v>
      </c>
      <c r="B67" s="54"/>
    </row>
    <row r="68" spans="1:6" ht="45" x14ac:dyDescent="0.25">
      <c r="A68" s="5" t="s">
        <v>54</v>
      </c>
      <c r="B68" s="6">
        <v>0.5</v>
      </c>
    </row>
    <row r="69" spans="1:6" x14ac:dyDescent="0.25">
      <c r="A69" s="5" t="s">
        <v>55</v>
      </c>
      <c r="B69" s="6">
        <v>0.5</v>
      </c>
    </row>
    <row r="70" spans="1:6" x14ac:dyDescent="0.25">
      <c r="A70" s="5" t="s">
        <v>91</v>
      </c>
      <c r="B70" s="1">
        <f>44/12</f>
        <v>3.6666666666666665</v>
      </c>
    </row>
    <row r="71" spans="1:6" x14ac:dyDescent="0.25">
      <c r="A71" s="5" t="s">
        <v>56</v>
      </c>
      <c r="B71" s="6">
        <f>16/12</f>
        <v>1.3333333333333333</v>
      </c>
    </row>
    <row r="72" spans="1:6" x14ac:dyDescent="0.25">
      <c r="A72" s="1" t="s">
        <v>92</v>
      </c>
      <c r="B72" s="1">
        <v>0.1</v>
      </c>
    </row>
    <row r="73" spans="1:6" x14ac:dyDescent="0.25">
      <c r="A73" s="5" t="s">
        <v>93</v>
      </c>
      <c r="B73" s="1">
        <v>0.5</v>
      </c>
    </row>
    <row r="74" spans="1:6" x14ac:dyDescent="0.25">
      <c r="A74" s="5" t="s">
        <v>57</v>
      </c>
      <c r="B74" s="6">
        <v>0.5</v>
      </c>
    </row>
    <row r="75" spans="1:6" ht="15.75" customHeight="1" x14ac:dyDescent="0.25">
      <c r="A75" s="5" t="s">
        <v>134</v>
      </c>
      <c r="B75" s="6">
        <v>0.5</v>
      </c>
    </row>
    <row r="76" spans="1:6" x14ac:dyDescent="0.25">
      <c r="A76" s="5" t="s">
        <v>105</v>
      </c>
      <c r="B76" s="6">
        <v>0.45</v>
      </c>
    </row>
    <row r="77" spans="1:6" x14ac:dyDescent="0.25">
      <c r="A77" s="5" t="s">
        <v>106</v>
      </c>
      <c r="B77" s="6">
        <f>44.01/16.04</f>
        <v>2.7437655860349128</v>
      </c>
    </row>
    <row r="79" spans="1:6" x14ac:dyDescent="0.25">
      <c r="A79" s="54" t="s">
        <v>95</v>
      </c>
      <c r="B79" s="54"/>
      <c r="C79" s="54"/>
      <c r="D79" s="54"/>
      <c r="E79" s="54"/>
      <c r="F79" s="54"/>
    </row>
    <row r="80" spans="1:6" x14ac:dyDescent="0.25">
      <c r="A80" s="44"/>
      <c r="B80" s="53" t="s">
        <v>136</v>
      </c>
      <c r="C80" s="53" t="s">
        <v>137</v>
      </c>
      <c r="D80" s="53" t="s">
        <v>138</v>
      </c>
      <c r="E80" s="53" t="s">
        <v>139</v>
      </c>
      <c r="F80" s="53" t="s">
        <v>143</v>
      </c>
    </row>
    <row r="81" spans="1:6" x14ac:dyDescent="0.25">
      <c r="A81" s="1" t="s">
        <v>140</v>
      </c>
      <c r="B81" s="1">
        <v>10.63</v>
      </c>
      <c r="C81" s="1">
        <v>4.0599999999999996</v>
      </c>
      <c r="D81" s="1">
        <v>23.8</v>
      </c>
      <c r="E81" s="1">
        <v>1.34</v>
      </c>
      <c r="F81" s="1">
        <v>60.14</v>
      </c>
    </row>
    <row r="82" spans="1:6" x14ac:dyDescent="0.25">
      <c r="A82" s="1" t="s">
        <v>141</v>
      </c>
      <c r="B82" s="1">
        <v>14.16</v>
      </c>
      <c r="C82" s="1">
        <v>7.25</v>
      </c>
      <c r="D82" s="1">
        <v>18.28</v>
      </c>
      <c r="E82" s="1">
        <v>2.5099999999999998</v>
      </c>
      <c r="F82" s="1">
        <v>57.77</v>
      </c>
    </row>
    <row r="83" spans="1:6" x14ac:dyDescent="0.25">
      <c r="A83" s="1" t="s">
        <v>142</v>
      </c>
      <c r="B83" s="1">
        <v>17.920000000000002</v>
      </c>
      <c r="C83" s="1">
        <v>13.01</v>
      </c>
      <c r="D83" s="1">
        <v>17.600000000000001</v>
      </c>
      <c r="E83" s="1">
        <v>4.12</v>
      </c>
      <c r="F83" s="1">
        <v>47.33</v>
      </c>
    </row>
    <row r="84" spans="1:6" x14ac:dyDescent="0.25">
      <c r="A84" s="1" t="s">
        <v>135</v>
      </c>
      <c r="B84" s="59">
        <v>0.75</v>
      </c>
      <c r="C84" s="59"/>
      <c r="D84" s="59"/>
      <c r="E84" s="59"/>
      <c r="F84" s="59"/>
    </row>
    <row r="86" spans="1:6" x14ac:dyDescent="0.25">
      <c r="A86" s="54" t="s">
        <v>97</v>
      </c>
      <c r="B86" s="54"/>
      <c r="C86" s="54"/>
      <c r="D86" s="54"/>
      <c r="E86" s="54"/>
    </row>
    <row r="87" spans="1:6" ht="60" x14ac:dyDescent="0.25">
      <c r="A87" s="43" t="s">
        <v>30</v>
      </c>
      <c r="B87" s="44" t="s">
        <v>103</v>
      </c>
      <c r="C87" s="44" t="s">
        <v>104</v>
      </c>
      <c r="D87" s="44" t="s">
        <v>126</v>
      </c>
      <c r="E87" s="44" t="s">
        <v>125</v>
      </c>
    </row>
    <row r="88" spans="1:6" x14ac:dyDescent="0.25">
      <c r="A88" s="1" t="s">
        <v>98</v>
      </c>
      <c r="B88" s="1">
        <v>-1.5209999999999999</v>
      </c>
      <c r="C88" s="1">
        <v>0.85</v>
      </c>
      <c r="D88" s="1">
        <v>6</v>
      </c>
      <c r="E88" s="6">
        <v>0.01</v>
      </c>
    </row>
    <row r="89" spans="1:6" x14ac:dyDescent="0.25">
      <c r="A89" s="1" t="s">
        <v>99</v>
      </c>
      <c r="B89" s="1">
        <v>-9.1080000000000005</v>
      </c>
      <c r="C89" s="1">
        <v>0.9</v>
      </c>
      <c r="D89" s="1">
        <v>20</v>
      </c>
      <c r="E89" s="6">
        <v>0.01</v>
      </c>
    </row>
    <row r="90" spans="1:6" x14ac:dyDescent="0.25">
      <c r="A90" s="1" t="s">
        <v>100</v>
      </c>
      <c r="B90" s="1">
        <v>-0.53</v>
      </c>
      <c r="C90" s="1">
        <v>0.75</v>
      </c>
      <c r="D90" s="1">
        <v>40</v>
      </c>
      <c r="E90" s="6">
        <v>1.4999999999999999E-2</v>
      </c>
    </row>
    <row r="91" spans="1:6" x14ac:dyDescent="0.25">
      <c r="A91" s="1" t="s">
        <v>101</v>
      </c>
      <c r="B91" s="1">
        <v>-1.8</v>
      </c>
      <c r="C91" s="1">
        <v>0.8</v>
      </c>
      <c r="D91" s="1">
        <v>50</v>
      </c>
      <c r="E91" s="6">
        <v>1.4999999999999999E-2</v>
      </c>
    </row>
    <row r="92" spans="1:6" x14ac:dyDescent="0.25">
      <c r="A92" s="1" t="s">
        <v>15</v>
      </c>
      <c r="B92" s="1">
        <v>-0.28699999999999998</v>
      </c>
      <c r="C92" s="1">
        <v>0.9</v>
      </c>
      <c r="D92" s="1">
        <v>10</v>
      </c>
      <c r="E92" s="6">
        <v>0.01</v>
      </c>
    </row>
    <row r="93" spans="1:6" x14ac:dyDescent="0.25">
      <c r="A93" s="1" t="s">
        <v>102</v>
      </c>
      <c r="B93" s="1">
        <v>-0.63400000000000001</v>
      </c>
      <c r="C93" s="1">
        <v>0.75</v>
      </c>
      <c r="D93" s="1">
        <v>15</v>
      </c>
      <c r="E93" s="6">
        <v>0.01</v>
      </c>
    </row>
    <row r="94" spans="1:6" x14ac:dyDescent="0.25">
      <c r="A94" s="1" t="s">
        <v>120</v>
      </c>
      <c r="B94" s="49" t="s">
        <v>123</v>
      </c>
      <c r="C94" s="49" t="s">
        <v>123</v>
      </c>
      <c r="D94" s="49" t="s">
        <v>123</v>
      </c>
      <c r="E94" s="49" t="s">
        <v>123</v>
      </c>
    </row>
    <row r="95" spans="1:6" x14ac:dyDescent="0.25">
      <c r="A95" s="1" t="s">
        <v>121</v>
      </c>
      <c r="B95" s="49" t="s">
        <v>123</v>
      </c>
      <c r="C95" s="49" t="s">
        <v>123</v>
      </c>
      <c r="D95" s="49" t="s">
        <v>123</v>
      </c>
      <c r="E95" s="49" t="s">
        <v>123</v>
      </c>
    </row>
    <row r="96" spans="1:6" x14ac:dyDescent="0.25">
      <c r="A96" s="1" t="s">
        <v>122</v>
      </c>
      <c r="B96" s="49" t="s">
        <v>123</v>
      </c>
      <c r="C96" s="49" t="s">
        <v>123</v>
      </c>
      <c r="D96" s="49" t="s">
        <v>123</v>
      </c>
      <c r="E96" s="49" t="s">
        <v>123</v>
      </c>
    </row>
    <row r="97" spans="1:14" ht="15.75" thickBot="1" x14ac:dyDescent="0.3"/>
    <row r="98" spans="1:14" ht="15.75" thickBot="1" x14ac:dyDescent="0.3">
      <c r="A98" s="62" t="s">
        <v>127</v>
      </c>
      <c r="B98" s="63"/>
      <c r="C98" s="63"/>
      <c r="D98" s="63"/>
      <c r="E98" s="63"/>
      <c r="F98" s="63"/>
      <c r="G98" s="63"/>
      <c r="H98" s="63"/>
      <c r="I98" s="63"/>
      <c r="J98" s="63"/>
      <c r="K98" s="63"/>
      <c r="L98" s="63"/>
      <c r="M98" s="64"/>
      <c r="N98" s="65"/>
    </row>
    <row r="99" spans="1:14" ht="30" customHeight="1" x14ac:dyDescent="0.25">
      <c r="A99" s="60" t="s">
        <v>124</v>
      </c>
      <c r="B99" s="4" t="s">
        <v>2</v>
      </c>
      <c r="C99" s="55" t="s">
        <v>3</v>
      </c>
      <c r="D99" s="56"/>
      <c r="E99" s="58"/>
      <c r="F99" s="55" t="s">
        <v>4</v>
      </c>
      <c r="G99" s="56"/>
      <c r="H99" s="58"/>
      <c r="I99" s="55" t="s">
        <v>5</v>
      </c>
      <c r="J99" s="56"/>
      <c r="K99" s="58"/>
      <c r="L99" s="55" t="s">
        <v>6</v>
      </c>
      <c r="M99" s="56"/>
      <c r="N99" s="57"/>
    </row>
    <row r="100" spans="1:14" x14ac:dyDescent="0.25">
      <c r="A100" s="61"/>
      <c r="B100" s="3" t="s">
        <v>17</v>
      </c>
      <c r="C100" s="3" t="s">
        <v>17</v>
      </c>
      <c r="D100" s="3" t="s">
        <v>58</v>
      </c>
      <c r="E100" s="3" t="s">
        <v>59</v>
      </c>
      <c r="F100" s="3" t="s">
        <v>17</v>
      </c>
      <c r="G100" s="3" t="s">
        <v>58</v>
      </c>
      <c r="H100" s="3" t="s">
        <v>59</v>
      </c>
      <c r="I100" s="3" t="s">
        <v>17</v>
      </c>
      <c r="J100" s="3" t="s">
        <v>58</v>
      </c>
      <c r="K100" s="3" t="s">
        <v>59</v>
      </c>
      <c r="L100" s="3" t="s">
        <v>17</v>
      </c>
      <c r="M100" s="3" t="s">
        <v>58</v>
      </c>
      <c r="N100" s="8" t="s">
        <v>59</v>
      </c>
    </row>
    <row r="101" spans="1:14" x14ac:dyDescent="0.25">
      <c r="A101" s="1" t="s">
        <v>98</v>
      </c>
      <c r="B101" s="41">
        <v>100</v>
      </c>
      <c r="C101" s="2" t="s">
        <v>18</v>
      </c>
      <c r="D101" s="2" t="s">
        <v>18</v>
      </c>
      <c r="E101" s="51" t="s">
        <v>18</v>
      </c>
      <c r="F101" s="2" t="s">
        <v>18</v>
      </c>
      <c r="G101" s="2" t="s">
        <v>18</v>
      </c>
      <c r="H101" s="51" t="s">
        <v>18</v>
      </c>
      <c r="I101" s="49" t="s">
        <v>123</v>
      </c>
      <c r="J101" s="49" t="s">
        <v>123</v>
      </c>
      <c r="K101" s="49" t="s">
        <v>123</v>
      </c>
      <c r="L101" s="49" t="s">
        <v>123</v>
      </c>
      <c r="M101" s="49" t="s">
        <v>123</v>
      </c>
      <c r="N101" s="49" t="s">
        <v>123</v>
      </c>
    </row>
    <row r="102" spans="1:14" x14ac:dyDescent="0.25">
      <c r="A102" s="1" t="s">
        <v>99</v>
      </c>
      <c r="B102" s="41">
        <v>100</v>
      </c>
      <c r="C102" s="2" t="s">
        <v>18</v>
      </c>
      <c r="D102" s="2" t="s">
        <v>18</v>
      </c>
      <c r="E102" s="51" t="s">
        <v>18</v>
      </c>
      <c r="F102" s="2" t="s">
        <v>18</v>
      </c>
      <c r="G102" s="2" t="s">
        <v>18</v>
      </c>
      <c r="H102" s="51" t="s">
        <v>18</v>
      </c>
      <c r="I102" s="49" t="s">
        <v>123</v>
      </c>
      <c r="J102" s="49" t="s">
        <v>123</v>
      </c>
      <c r="K102" s="49" t="s">
        <v>123</v>
      </c>
      <c r="L102" s="49" t="s">
        <v>123</v>
      </c>
      <c r="M102" s="49" t="s">
        <v>123</v>
      </c>
      <c r="N102" s="49" t="s">
        <v>123</v>
      </c>
    </row>
    <row r="103" spans="1:14" x14ac:dyDescent="0.25">
      <c r="A103" s="1" t="s">
        <v>100</v>
      </c>
      <c r="B103" s="41">
        <v>100</v>
      </c>
      <c r="C103" s="2" t="s">
        <v>18</v>
      </c>
      <c r="D103" s="2" t="s">
        <v>18</v>
      </c>
      <c r="E103" s="51" t="s">
        <v>18</v>
      </c>
      <c r="F103" s="2" t="s">
        <v>18</v>
      </c>
      <c r="G103" s="2" t="s">
        <v>18</v>
      </c>
      <c r="H103" s="51" t="s">
        <v>18</v>
      </c>
      <c r="I103" s="49">
        <v>75</v>
      </c>
      <c r="J103" s="49">
        <v>67</v>
      </c>
      <c r="K103" s="25" t="s">
        <v>69</v>
      </c>
      <c r="L103" s="52">
        <v>100</v>
      </c>
      <c r="M103" s="52">
        <v>95</v>
      </c>
      <c r="N103" s="50" t="s">
        <v>71</v>
      </c>
    </row>
    <row r="104" spans="1:14" x14ac:dyDescent="0.25">
      <c r="A104" s="1" t="s">
        <v>101</v>
      </c>
      <c r="B104" s="41">
        <v>100</v>
      </c>
      <c r="C104" s="2" t="s">
        <v>18</v>
      </c>
      <c r="D104" s="2" t="s">
        <v>18</v>
      </c>
      <c r="E104" s="51" t="s">
        <v>18</v>
      </c>
      <c r="F104" s="2" t="s">
        <v>18</v>
      </c>
      <c r="G104" s="2" t="s">
        <v>18</v>
      </c>
      <c r="H104" s="51" t="s">
        <v>18</v>
      </c>
      <c r="I104" s="49">
        <v>75</v>
      </c>
      <c r="J104" s="49">
        <v>67</v>
      </c>
      <c r="K104" s="25" t="s">
        <v>69</v>
      </c>
      <c r="L104" s="49">
        <v>100</v>
      </c>
      <c r="M104" s="49">
        <v>95</v>
      </c>
      <c r="N104" s="25" t="s">
        <v>71</v>
      </c>
    </row>
    <row r="105" spans="1:14" x14ac:dyDescent="0.25">
      <c r="A105" s="1" t="s">
        <v>15</v>
      </c>
      <c r="B105" s="41">
        <v>100</v>
      </c>
      <c r="C105" s="2" t="s">
        <v>18</v>
      </c>
      <c r="D105" s="2" t="s">
        <v>18</v>
      </c>
      <c r="E105" s="2" t="s">
        <v>18</v>
      </c>
      <c r="F105" s="2" t="s">
        <v>18</v>
      </c>
      <c r="G105" s="2" t="s">
        <v>18</v>
      </c>
      <c r="H105" s="2" t="s">
        <v>18</v>
      </c>
      <c r="I105" s="49" t="s">
        <v>123</v>
      </c>
      <c r="J105" s="49" t="s">
        <v>123</v>
      </c>
      <c r="K105" s="49" t="s">
        <v>123</v>
      </c>
      <c r="L105" s="49" t="s">
        <v>123</v>
      </c>
      <c r="M105" s="49" t="s">
        <v>123</v>
      </c>
      <c r="N105" s="49" t="s">
        <v>123</v>
      </c>
    </row>
    <row r="106" spans="1:14" x14ac:dyDescent="0.25">
      <c r="A106" s="1" t="s">
        <v>102</v>
      </c>
      <c r="B106" s="41">
        <v>90</v>
      </c>
      <c r="C106" s="1">
        <v>40</v>
      </c>
      <c r="D106" s="1">
        <v>36</v>
      </c>
      <c r="E106" s="25" t="s">
        <v>60</v>
      </c>
      <c r="F106" s="1">
        <v>44</v>
      </c>
      <c r="G106" s="1">
        <v>40</v>
      </c>
      <c r="H106" s="25" t="s">
        <v>65</v>
      </c>
      <c r="I106" s="49">
        <v>46</v>
      </c>
      <c r="J106" s="49">
        <v>42</v>
      </c>
      <c r="K106" s="25" t="s">
        <v>65</v>
      </c>
      <c r="L106" s="49">
        <v>1</v>
      </c>
      <c r="M106" s="49">
        <v>0</v>
      </c>
      <c r="N106" s="25" t="s">
        <v>70</v>
      </c>
    </row>
    <row r="107" spans="1:14" x14ac:dyDescent="0.25">
      <c r="A107" s="1" t="s">
        <v>120</v>
      </c>
      <c r="B107" s="1">
        <v>40</v>
      </c>
      <c r="C107" s="1">
        <v>15</v>
      </c>
      <c r="D107" s="1">
        <v>8</v>
      </c>
      <c r="E107" s="49" t="s">
        <v>23</v>
      </c>
      <c r="F107" s="1">
        <v>38</v>
      </c>
      <c r="G107" s="1">
        <v>20</v>
      </c>
      <c r="H107" s="49" t="s">
        <v>65</v>
      </c>
      <c r="I107" s="1">
        <v>38</v>
      </c>
      <c r="J107" s="1">
        <v>20</v>
      </c>
      <c r="K107" s="49" t="s">
        <v>65</v>
      </c>
      <c r="L107" s="48" t="s">
        <v>18</v>
      </c>
      <c r="M107" s="48" t="s">
        <v>18</v>
      </c>
      <c r="N107" s="48" t="s">
        <v>18</v>
      </c>
    </row>
    <row r="108" spans="1:14" x14ac:dyDescent="0.25">
      <c r="A108" s="1" t="s">
        <v>121</v>
      </c>
      <c r="B108" s="1">
        <v>85</v>
      </c>
      <c r="C108" s="1">
        <v>43</v>
      </c>
      <c r="D108" s="1">
        <v>39</v>
      </c>
      <c r="E108" s="49" t="s">
        <v>62</v>
      </c>
      <c r="F108" s="1">
        <v>50</v>
      </c>
      <c r="G108" s="1">
        <v>46</v>
      </c>
      <c r="H108" s="49" t="s">
        <v>66</v>
      </c>
      <c r="I108" s="1">
        <v>50</v>
      </c>
      <c r="J108" s="1">
        <v>46</v>
      </c>
      <c r="K108" s="49" t="s">
        <v>66</v>
      </c>
      <c r="L108" s="48" t="s">
        <v>18</v>
      </c>
      <c r="M108" s="48" t="s">
        <v>18</v>
      </c>
      <c r="N108" s="48" t="s">
        <v>18</v>
      </c>
    </row>
    <row r="109" spans="1:14" x14ac:dyDescent="0.25">
      <c r="A109" s="1" t="s">
        <v>122</v>
      </c>
      <c r="B109" s="1">
        <v>40</v>
      </c>
      <c r="C109" s="1">
        <v>20</v>
      </c>
      <c r="D109" s="1">
        <v>18</v>
      </c>
      <c r="E109" s="49" t="s">
        <v>63</v>
      </c>
      <c r="F109" s="1">
        <v>49</v>
      </c>
      <c r="G109" s="1">
        <v>45</v>
      </c>
      <c r="H109" s="49" t="s">
        <v>67</v>
      </c>
      <c r="I109" s="1">
        <v>49</v>
      </c>
      <c r="J109" s="1">
        <v>45</v>
      </c>
      <c r="K109" s="49" t="s">
        <v>67</v>
      </c>
      <c r="L109" s="1">
        <v>0</v>
      </c>
      <c r="M109" s="1">
        <v>0</v>
      </c>
      <c r="N109" s="49" t="s">
        <v>21</v>
      </c>
    </row>
  </sheetData>
  <mergeCells count="53">
    <mergeCell ref="M36:N36"/>
    <mergeCell ref="H36:I36"/>
    <mergeCell ref="K32:N32"/>
    <mergeCell ref="K33:L33"/>
    <mergeCell ref="M33:N33"/>
    <mergeCell ref="K34:L34"/>
    <mergeCell ref="M34:N34"/>
    <mergeCell ref="K35:L35"/>
    <mergeCell ref="A33:A38"/>
    <mergeCell ref="A39:A41"/>
    <mergeCell ref="K24:M24"/>
    <mergeCell ref="H23:M23"/>
    <mergeCell ref="B23:G23"/>
    <mergeCell ref="A32:D32"/>
    <mergeCell ref="F32:I32"/>
    <mergeCell ref="F33:G33"/>
    <mergeCell ref="H33:I33"/>
    <mergeCell ref="F34:G34"/>
    <mergeCell ref="F35:G35"/>
    <mergeCell ref="F36:G36"/>
    <mergeCell ref="H34:I34"/>
    <mergeCell ref="H35:I35"/>
    <mergeCell ref="M35:N35"/>
    <mergeCell ref="K36:L36"/>
    <mergeCell ref="A1:N1"/>
    <mergeCell ref="A15:B15"/>
    <mergeCell ref="A23:A25"/>
    <mergeCell ref="A2:A3"/>
    <mergeCell ref="C2:E2"/>
    <mergeCell ref="B24:D24"/>
    <mergeCell ref="E24:G24"/>
    <mergeCell ref="H24:J24"/>
    <mergeCell ref="F2:H2"/>
    <mergeCell ref="I2:K2"/>
    <mergeCell ref="L2:N2"/>
    <mergeCell ref="A22:M22"/>
    <mergeCell ref="D15:E15"/>
    <mergeCell ref="G15:H15"/>
    <mergeCell ref="D43:E43"/>
    <mergeCell ref="D51:E51"/>
    <mergeCell ref="L99:N99"/>
    <mergeCell ref="I99:K99"/>
    <mergeCell ref="F99:H99"/>
    <mergeCell ref="C99:E99"/>
    <mergeCell ref="A79:F79"/>
    <mergeCell ref="B84:F84"/>
    <mergeCell ref="A99:A100"/>
    <mergeCell ref="A98:N98"/>
    <mergeCell ref="A60:B60"/>
    <mergeCell ref="A67:B67"/>
    <mergeCell ref="A51:B51"/>
    <mergeCell ref="A86:E86"/>
    <mergeCell ref="A43:B43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Assumptions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Diogo Franco Gouveia</dc:creator>
  <cp:lastModifiedBy>Francisco Diogo Franco Gouveia</cp:lastModifiedBy>
  <dcterms:created xsi:type="dcterms:W3CDTF">2024-03-18T13:59:44Z</dcterms:created>
  <dcterms:modified xsi:type="dcterms:W3CDTF">2024-07-15T17:14:10Z</dcterms:modified>
</cp:coreProperties>
</file>